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dc7239d83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4a2443e82c14c7b"/>
    <x:sheet xmlns:r="http://schemas.openxmlformats.org/officeDocument/2006/relationships" name="Escenarios" sheetId="2" r:id="R604f9b87ee764bcc"/>
    <x:sheet xmlns:r="http://schemas.openxmlformats.org/officeDocument/2006/relationships" name="Detalle_BOM" sheetId="3" r:id="Rc6ab8668f0ab44cb"/>
    <x:sheet xmlns:r="http://schemas.openxmlformats.org/officeDocument/2006/relationships" name="Parametros" sheetId="4" r:id="R0fe7b7e833cf47a8"/>
    <x:sheet xmlns:r="http://schemas.openxmlformats.org/officeDocument/2006/relationships" name="Notas" sheetId="5" r:id="Ra833371007d64e3c"/>
    <x:sheet xmlns:r="http://schemas.openxmlformats.org/officeDocument/2006/relationships" name="Fuentes" sheetId="6" r:id="R941142020034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$#,##0.00"/>
    <x:numFmt numFmtId="202" formatCode="yyyy-mm-dd"/>
    <x:numFmt numFmtId="203" formatCode="0.0%"/>
    <x:numFmt numFmtId="204" formatCode="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E7E6E6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201" fontId="3" fillId="4" borderId="2" xfId="0" applyNumberFormat="1" applyFont="1" applyFill="1" applyBorder="1"/>
    <x:xf numFmtId="201" fontId="3" fillId="4" borderId="3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wrapText="1"/>
    </x:xf>
    <x:xf numFmtId="201" fontId="3" fillId="4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wrapText="1"/>
    </x:xf>
    <x:xf numFmtId="201" fontId="3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4b4654da843f5" /><Relationship Type="http://schemas.openxmlformats.org/officeDocument/2006/relationships/theme" Target="/xl/theme/theme1.xml" Id="R0333b7532d1f4667" /><Relationship Type="http://schemas.openxmlformats.org/officeDocument/2006/relationships/sharedStrings" Target="/xl/sharedStrings.xml" Id="Rb7c51c3476994f24" /><Relationship Type="http://schemas.openxmlformats.org/officeDocument/2006/relationships/worksheet" Target="/xl/worksheets/sheet1.xml" Id="R54a2443e82c14c7b" /><Relationship Type="http://schemas.openxmlformats.org/officeDocument/2006/relationships/worksheet" Target="/xl/worksheets/sheet2.xml" Id="R604f9b87ee764bcc" /><Relationship Type="http://schemas.openxmlformats.org/officeDocument/2006/relationships/worksheet" Target="/xl/worksheets/sheet3.xml" Id="Rc6ab8668f0ab44cb" /><Relationship Type="http://schemas.openxmlformats.org/officeDocument/2006/relationships/worksheet" Target="/xl/worksheets/sheet4.xml" Id="R0fe7b7e833cf47a8" /><Relationship Type="http://schemas.openxmlformats.org/officeDocument/2006/relationships/worksheet" Target="/xl/worksheets/sheet5.xml" Id="Ra833371007d64e3c" /><Relationship Type="http://schemas.openxmlformats.org/officeDocument/2006/relationships/worksheet" Target="/xl/worksheets/sheet6.xml" Id="R9411420200344f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d24060cc0e43e0" /><Relationship Type="http://schemas.openxmlformats.org/officeDocument/2006/relationships/chart" Target="/xl/drawings/charts/chart2.xml" Id="R62d2b9ce6735438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Costo unitario</c:v>
          </c:tx>
          <c:cat>
            <c:strRef>
              <c:f>'Escenarios'!$A$5:$A$8</c:f>
              <c:strCache>
                <c:ptCount val="0"/>
              </c:strCache>
            </c:strRef>
          </c:cat>
          <c:val>
            <c:numRef>
              <c:f>'Escenarios'!$L$5:$L$8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Total proyecto</c:v>
          </c:tx>
          <c:cat>
            <c:strRef>
              <c:f>'Escenarios'!$A$5:$A$8</c:f>
              <c:strCache>
                <c:ptCount val="0"/>
              </c:strCache>
            </c:strRef>
          </c:cat>
          <c:val>
            <c:numRef>
              <c:f>'Escenarios'!$K$5:$K$8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d24060cc0e43e0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d2b9ce673543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TablaResumenCostos" displayName="TablaResumenCostos" ref="A10:H14" headerRowCount="1">
  <x:tableColumns count="8">
    <x:tableColumn id="1" name="Indicador"/>
    <x:tableColumn id="2" name="Valor"/>
    <x:tableColumn id="3" name="Lectura rápida"/>
    <x:tableColumn id="4" name="Column4"/>
    <x:tableColumn id="5" name="Escenario recomendado"/>
    <x:tableColumn id="6" name="Motivo"/>
    <x:tableColumn id="7" name="Observación"/>
    <x:tableColumn id="8" name="Estado"/>
  </x:tableColumns>
  <x:tableStyleInfo name="TableStyleMedium2" showRowStripes="1"/>
</x:table>
</file>

<file path=xl/tables/table2.xml><?xml version="1.0" encoding="utf-8"?>
<x:table xmlns:x="http://schemas.openxmlformats.org/spreadsheetml/2006/main" id="3" name="TablaEscenarios" displayName="TablaEscenarios" ref="A4:N8" headerRowCount="1">
  <x:tableColumns count="14">
    <x:tableColumn id="1" name="Prototipos"/>
    <x:tableColumn id="2" name="Componentes"/>
    <x:tableColumn id="3" name="PCB"/>
    <x:tableColumn id="4" name="Envío comp."/>
    <x:tableColumn id="5" name="Envío PCB"/>
    <x:tableColumn id="6" name="Ensamble/prueba"/>
    <x:tableColumn id="7" name="Indirectos"/>
    <x:tableColumn id="8" name="Subtotal"/>
    <x:tableColumn id="9" name="IVA estimado"/>
    <x:tableColumn id="10" name="Contingencia"/>
    <x:tableColumn id="11" name="Total proyecto"/>
    <x:tableColumn id="12" name="Costo unitario"/>
    <x:tableColumn id="13" name="Ahorro unitario vs 1"/>
    <x:tableColumn id="14" name="Comentario"/>
  </x:tableColumns>
  <x:tableStyleInfo name="TableStyleMedium2" showRowStripes="1"/>
</x:table>
</file>

<file path=xl/tables/table3.xml><?xml version="1.0" encoding="utf-8"?>
<x:table xmlns:x="http://schemas.openxmlformats.org/spreadsheetml/2006/main" id="2" name="TablaDetalleBOM" displayName="TablaDetalleBOM" ref="A3:J28" headerRowCount="1">
  <x:tableColumns count="10">
    <x:tableColumn id="1" name="No."/>
    <x:tableColumn id="2" name="Cantidad por tarjeta"/>
    <x:tableColumn id="3" name="Referencia"/>
    <x:tableColumn id="4" name="Componente"/>
    <x:tableColumn id="5" name="Categoría"/>
    <x:tableColumn id="6" name="Proveedor base"/>
    <x:tableColumn id="7" name="Precio unitario MXN"/>
    <x:tableColumn id="8" name="Subtotal por tarjeta MXN"/>
    <x:tableColumn id="9" name="Prioridad"/>
    <x:tableColumn id="10" name="Nota breve"/>
  </x:tableColumns>
  <x:tableStyleInfo name="TableStyleMedium2" showRowStripes="1"/>
</x:table>
</file>

<file path=xl/tables/table4.xml><?xml version="1.0" encoding="utf-8"?>
<x:table xmlns:x="http://schemas.openxmlformats.org/spreadsheetml/2006/main" id="1" name="TablaParametros" displayName="TablaParametros" ref="A3:D11" headerRowCount="1">
  <x:tableColumns count="4">
    <x:tableColumn id="1" name="Concepto"/>
    <x:tableColumn id="2" name="Valor"/>
    <x:tableColumn id="3" name="Unidad"/>
    <x:tableColumn id="4" name="Observación"/>
  </x:tableColumns>
  <x:tableStyleInfo name="TableStyleMedium2" showRowStripes="1"/>
</x:table>
</file>

<file path=xl/tables/table5.xml><?xml version="1.0" encoding="utf-8"?>
<x:table xmlns:x="http://schemas.openxmlformats.org/spreadsheetml/2006/main" id="5" name="TablaNotas" displayName="TablaNotas" ref="A3:F8" headerRowCount="1">
  <x:tableColumns count="6">
    <x:tableColumn id="1" name="No."/>
    <x:tableColumn id="2" name="Tema"/>
    <x:tableColumn id="3" name="Nota"/>
    <x:tableColumn id="4" name="Responsable sugerido"/>
    <x:tableColumn id="5" name="Impacto"/>
    <x:tableColumn id="6" name="Estatus"/>
  </x:tableColumns>
  <x:tableStyleInfo name="TableStyleMedium2" showRowStripes="1"/>
</x:table>
</file>

<file path=xl/tables/table6.xml><?xml version="1.0" encoding="utf-8"?>
<x:table xmlns:x="http://schemas.openxmlformats.org/spreadsheetml/2006/main" id="6" name="TablaFuentes" displayName="TablaFuentes" ref="A3:G28" headerRowCount="1">
  <x:tableColumns count="7">
    <x:tableColumn id="1" name="No."/>
    <x:tableColumn id="2" name="Referencia"/>
    <x:tableColumn id="3" name="Componente"/>
    <x:tableColumn id="4" name="Proveedor"/>
    <x:tableColumn id="5" name="Moneda base"/>
    <x:tableColumn id="6" name="Enlace"/>
    <x:tableColumn id="7" name="Observ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f706e7121e4a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eab1221ad56486a" /><Relationship Type="http://schemas.openxmlformats.org/officeDocument/2006/relationships/table" Target="/xl/tables/table2.xml" Id="Rae56070094be49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d7cdd6cf524b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2936bd7971b48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8b634d5a43a47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d438723dc2d4cb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Resumen ejecutivo — Costos por cantidad de prototipo</x:v>
      </x:c>
    </x:row>
    <x:row r="3">
      <x:c r="A3" s="64" t="str">
        <x:v>Proyecto</x:v>
      </x:c>
      <x:c r="B3" s="20" t="str">
        <x:v>PIC32-PINGUINO-MX220 Rev A</x:v>
      </x:c>
      <x:c r="C3" s="20"/>
      <x:c r="D3" s="20"/>
      <x:c r="E3" s="20"/>
      <x:c r="F3" s="20"/>
      <x:c r="G3" s="20"/>
      <x:c r="H3" s="20"/>
    </x:row>
    <x:row r="4">
      <x:c r="A4" s="64" t="str">
        <x:v>Rama</x:v>
      </x:c>
      <x:c r="B4" s="20" t="str">
        <x:v>costos / organización</x:v>
      </x:c>
      <x:c r="C4" s="20"/>
      <x:c r="D4" s="20"/>
      <x:c r="E4" s="20"/>
      <x:c r="F4" s="20"/>
      <x:c r="G4" s="20"/>
      <x:c r="H4" s="20"/>
    </x:row>
    <x:row r="5">
      <x:c r="A5" s="64" t="str">
        <x:v>Documento</x:v>
      </x:c>
      <x:c r="B5" s="20" t="str">
        <x:v>Costos por cantidad de prototipo</x:v>
      </x:c>
      <x:c r="C5" s="20"/>
      <x:c r="D5" s="20"/>
      <x:c r="E5" s="20"/>
      <x:c r="F5" s="20"/>
      <x:c r="G5" s="20"/>
      <x:c r="H5" s="20"/>
    </x:row>
    <x:row r="6">
      <x:c r="A6" s="64" t="str">
        <x:v>Responsable</x:v>
      </x:c>
      <x:c r="B6" s="20" t="str">
        <x:v>Área administrativa del proyecto</x:v>
      </x:c>
      <x:c r="C6" s="20"/>
      <x:c r="D6" s="20"/>
      <x:c r="E6" s="20"/>
      <x:c r="F6" s="20"/>
      <x:c r="G6" s="20"/>
      <x:c r="H6" s="20"/>
    </x:row>
    <x:row r="7">
      <x:c r="A7" s="64" t="str">
        <x:v>Fecha de referencia</x:v>
      </x:c>
      <x:c r="B7" s="23" t="n">
        <x:v>46193</x:v>
      </x:c>
      <x:c r="C7" s="20"/>
      <x:c r="D7" s="20"/>
      <x:c r="E7" s="20"/>
      <x:c r="F7" s="20"/>
      <x:c r="G7" s="20"/>
      <x:c r="H7" s="20"/>
    </x:row>
    <x:row r="8">
      <x:c r="A8" s="64" t="str">
        <x:v>Objetivo</x:v>
      </x:c>
      <x:c r="B8" s="20" t="str">
        <x:v>Comparar el costo total y unitario para fabricar 1, 3, 5 y 10 prototipos.</x:v>
      </x:c>
      <x:c r="C8" s="20"/>
      <x:c r="D8" s="20"/>
      <x:c r="E8" s="20"/>
      <x:c r="F8" s="20"/>
      <x:c r="G8" s="20"/>
      <x:c r="H8" s="20"/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36" t="str">
        <x:v>Indicador</x:v>
      </x:c>
      <x:c r="B10" s="36" t="str">
        <x:v>Valor</x:v>
      </x:c>
      <x:c r="C10" s="36" t="str">
        <x:v>Lectura rápida</x:v>
      </x:c>
      <x:c r="D10" s="36"/>
      <x:c r="E10" s="36" t="str">
        <x:v>Escenario recomendado</x:v>
      </x:c>
      <x:c r="F10" s="36" t="str">
        <x:v>Motivo</x:v>
      </x:c>
      <x:c r="G10" s="36" t="str">
        <x:v>Observación</x:v>
      </x:c>
      <x:c r="H10" s="36" t="str">
        <x:v>Estado</x:v>
      </x:c>
    </x:row>
    <x:row r="11">
      <x:c r="A11" s="65" t="str">
        <x:v>Costo componentes por tarjeta</x:v>
      </x:c>
      <x:c r="B11" s="22" t="n">
        <x:f>Detalle_BOM!$H$30</x:f>
        <x:v>230.4257</x:v>
      </x:c>
      <x:c r="C11" s="20" t="str">
        <x:v>Base del BOM sin duplicar placas.</x:v>
      </x:c>
      <x:c r="D11" s="20"/>
      <x:c r="E11" s="20" t="str">
        <x:v>5 prototipos</x:v>
      </x:c>
      <x:c r="F11" s="20" t="str">
        <x:v>Balance entre costo y pruebas disponibles.</x:v>
      </x:c>
      <x:c r="G11" s="20" t="str">
        <x:v>Revisar stock antes de comprar.</x:v>
      </x:c>
      <x:c r="H11" s="20" t="str">
        <x:v>Listo</x:v>
      </x:c>
    </x:row>
    <x:row r="12">
      <x:c r="A12" s="65" t="str">
        <x:v>Costo unitario 1 prototipo</x:v>
      </x:c>
      <x:c r="B12" s="22" t="n">
        <x:f>Escenarios!L5</x:f>
        <x:v>1339.73235286</x:v>
      </x:c>
      <x:c r="C12" s="20" t="str">
        <x:v>Sirve para validar, pero sale más caro.</x:v>
      </x:c>
      <x:c r="D12" s="20"/>
      <x:c r="E12" s="20" t="str">
        <x:v>3 prototipos</x:v>
      </x:c>
      <x:c r="F12" s="20" t="str">
        <x:v>Permite tener respaldo si una placa falla.</x:v>
      </x:c>
      <x:c r="G12" s="20" t="str">
        <x:v>No comprar sin revisar envío.</x:v>
      </x:c>
      <x:c r="H12" s="20" t="str">
        <x:v>Listo</x:v>
      </x:c>
    </x:row>
    <x:row r="13">
      <x:c r="A13" s="65" t="str">
        <x:v>Costo unitario 10 prototipos</x:v>
      </x:c>
      <x:c r="B13" s="22" t="n">
        <x:f>Escenarios!L8</x:f>
        <x:v>681.31635286</x:v>
      </x:c>
      <x:c r="C13" s="20" t="str">
        <x:v>Reduce costo por unidad.</x:v>
      </x:c>
      <x:c r="D13" s="20"/>
      <x:c r="E13" s="20" t="str">
        <x:v>10 prototipos</x:v>
      </x:c>
      <x:c r="F13" s="20" t="str">
        <x:v>Conviene si se usará en prácticas.</x:v>
      </x:c>
      <x:c r="G13" s="20" t="str">
        <x:v>Requiere más capital inicial.</x:v>
      </x:c>
      <x:c r="H13" s="20" t="str">
        <x:v>Listo</x:v>
      </x:c>
    </x:row>
    <x:row r="14">
      <x:c r="A14" s="65" t="str">
        <x:v>Ahorro unitario máximo</x:v>
      </x:c>
      <x:c r="B14" s="53" t="n">
        <x:f>Escenarios!M8</x:f>
        <x:v>0.4914533851440127</x:v>
      </x:c>
      <x:c r="C14" s="20" t="str">
        <x:v>Comparado contra fabricar solo una unidad.</x:v>
      </x:c>
      <x:c r="D14" s="20"/>
      <x:c r="E14" s="20" t="str">
        <x:v>10 prototipos</x:v>
      </x:c>
      <x:c r="F14" s="20" t="str">
        <x:v>Economía de escala por PCB y envío.</x:v>
      </x:c>
      <x:c r="G14" s="20" t="str">
        <x:v>Validar necesidad real.</x:v>
      </x:c>
      <x:c r="H14" s="20" t="str">
        <x:v>Listo</x:v>
      </x:c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66" t="str">
        <x:v>Conclusión administrativa</x:v>
      </x:c>
      <x:c r="B16" s="20"/>
      <x:c r="C16" s="20"/>
      <x:c r="D16" s="20"/>
      <x:c r="E16" s="20"/>
      <x:c r="F16" s="20"/>
      <x:c r="G16" s="20"/>
      <x:c r="H16" s="20"/>
    </x:row>
    <x:row r="17">
      <x:c r="A17" s="20" t="str">
        <x:v>Para esta etapa conviene presupuestar al menos 3 a 5 prototipos. Una sola tarjeta permite validar el diseño, pero no deja margen para fallas de soldadura, errores de compra o pruebas de respaldo. El escenario de 10 piezas mejora el costo unitario, aunque requiere mayor control de inventario y disponibilidad de componentes.</x:v>
      </x:c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  <x:mergeCell ref="A16:H16"/>
    <x:mergeCell ref="A17:H20"/>
  </x:mergeCells>
  <x:pageMargins left="0.7" right="0.7" top="0.75" bottom="0.75" header="0.3" footer="0.3"/>
  <x:tableParts count="1">
    <x:tablePart xmlns:r="http://schemas.openxmlformats.org/officeDocument/2006/relationships" r:id="R41f706e7121e4a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4" hidden="0" customWidth="1"/>
    <x:col min="5" max="5" width="12" hidden="0" customWidth="1"/>
    <x:col min="6" max="6" width="16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8" hidden="0" customWidth="1"/>
    <x:col min="14" max="14" width="52" hidden="0" customWidth="1"/>
  </x:cols>
  <x:sheetData>
    <x:row r="1">
      <x:c r="A1" s="4" t="str">
        <x:v>Costos por cantidad de prototipo — PIC32-PINGUINO-MX220 Rev A</x:v>
      </x:c>
    </x:row>
    <x:row r="2">
      <x:c r="A2" s="44" t="str">
        <x:v>Los montos son estimados administrativos para comparar producción mínima, corta y de prueba. Las celdas con importes principales usan fórmulas.</x:v>
      </x:c>
    </x:row>
    <x:row r="4">
      <x:c r="A4" s="36" t="str">
        <x:v>Prototipos</x:v>
      </x:c>
      <x:c r="B4" s="36" t="str">
        <x:v>Componentes</x:v>
      </x:c>
      <x:c r="C4" s="36" t="str">
        <x:v>PCB</x:v>
      </x:c>
      <x:c r="D4" s="36" t="str">
        <x:v>Envío comp.</x:v>
      </x:c>
      <x:c r="E4" s="36" t="str">
        <x:v>Envío PCB</x:v>
      </x:c>
      <x:c r="F4" s="36" t="str">
        <x:v>Ensamble/prueba</x:v>
      </x:c>
      <x:c r="G4" s="36" t="str">
        <x:v>Indirectos</x:v>
      </x:c>
      <x:c r="H4" s="36" t="str">
        <x:v>Subtotal</x:v>
      </x:c>
      <x:c r="I4" s="36" t="str">
        <x:v>IVA estimado</x:v>
      </x:c>
      <x:c r="J4" s="36" t="str">
        <x:v>Contingencia</x:v>
      </x:c>
      <x:c r="K4" s="36" t="str">
        <x:v>Total proyecto</x:v>
      </x:c>
      <x:c r="L4" s="36" t="str">
        <x:v>Costo unitario</x:v>
      </x:c>
      <x:c r="M4" s="36" t="str">
        <x:v>Ahorro unitario vs 1</x:v>
      </x:c>
      <x:c r="N4" s="36" t="str">
        <x:v>Comentario</x:v>
      </x:c>
    </x:row>
    <x:row r="5">
      <x:c r="A5" s="52" t="n">
        <x:v>1</x:v>
      </x:c>
      <x:c r="B5" s="22" t="n">
        <x:f>Detalle_BOM!$H$30*A5*(1+Parametros!$B$6)</x:f>
        <x:v>241.946985</x:v>
      </x:c>
      <x:c r="C5" s="22" t="n">
        <x:v>220</x:v>
      </x:c>
      <x:c r="D5" s="22" t="n">
        <x:v>260</x:v>
      </x:c>
      <x:c r="E5" s="22" t="n">
        <x:v>180</x:v>
      </x:c>
      <x:c r="F5" s="22" t="n">
        <x:f>A5*Parametros!$B$7</x:f>
        <x:v>120</x:v>
      </x:c>
      <x:c r="G5" s="22" t="n">
        <x:f>A5*(Parametros!$B$8+Parametros!$B$9)</x:f>
        <x:v>28</x:v>
      </x:c>
      <x:c r="H5" s="22" t="n">
        <x:f>SUM(B5:G5)</x:f>
        <x:v>1049.946985</x:v>
      </x:c>
      <x:c r="I5" s="22" t="n">
        <x:f>H5*Parametros!$B$4</x:f>
        <x:v>167.9915176</x:v>
      </x:c>
      <x:c r="J5" s="22" t="n">
        <x:f>(H5+I5)*Parametros!$B$5</x:f>
        <x:v>121.79385026</x:v>
      </x:c>
      <x:c r="K5" s="22" t="n">
        <x:f>H5+I5+J5</x:f>
        <x:v>1339.73235286</x:v>
      </x:c>
      <x:c r="L5" s="22" t="n">
        <x:f>K5/A5</x:f>
        <x:v>1339.73235286</x:v>
      </x:c>
      <x:c r="M5" s="53" t="n">
        <x:f>IF(A5=1,0,1-L5/$L$5)</x:f>
        <x:v>0</x:v>
      </x:c>
      <x:c r="N5" s="20" t="str">
        <x:v>Sirve para validar diseño, pero el costo unitario queda alto.</x:v>
      </x:c>
    </x:row>
    <x:row r="6">
      <x:c r="A6" s="52" t="n">
        <x:v>3</x:v>
      </x:c>
      <x:c r="B6" s="22" t="n">
        <x:f>Detalle_BOM!$H$30*A6*(1+Parametros!$B$6)</x:f>
        <x:v>725.840955</x:v>
      </x:c>
      <x:c r="C6" s="22" t="n">
        <x:v>380</x:v>
      </x:c>
      <x:c r="D6" s="22" t="n">
        <x:v>320</x:v>
      </x:c>
      <x:c r="E6" s="22" t="n">
        <x:v>180</x:v>
      </x:c>
      <x:c r="F6" s="22" t="n">
        <x:f>A6*Parametros!$B$7</x:f>
        <x:v>360</x:v>
      </x:c>
      <x:c r="G6" s="22" t="n">
        <x:f>A6*(Parametros!$B$8+Parametros!$B$9)</x:f>
        <x:v>84</x:v>
      </x:c>
      <x:c r="H6" s="22" t="n">
        <x:f>SUM(B6:G6)</x:f>
        <x:v>2049.840955</x:v>
      </x:c>
      <x:c r="I6" s="22" t="n">
        <x:f>H6*Parametros!$B$4</x:f>
        <x:v>327.9745528</x:v>
      </x:c>
      <x:c r="J6" s="22" t="n">
        <x:f>(H6+I6)*Parametros!$B$5</x:f>
        <x:v>237.78155078</x:v>
      </x:c>
      <x:c r="K6" s="22" t="n">
        <x:f>H6+I6+J6</x:f>
        <x:v>2615.59705858</x:v>
      </x:c>
      <x:c r="L6" s="22" t="n">
        <x:f>K6/A6</x:f>
        <x:v>871.8656861933333</x:v>
      </x:c>
      <x:c r="M6" s="53" t="n">
        <x:f>IF(A6=1,0,1-L6/$L$5)</x:f>
        <x:v>0.34922398169148194</x:v>
      </x:c>
      <x:c r="N6" s="20" t="str">
        <x:v>Cantidad útil para pruebas: una placa principal y dos de respaldo.</x:v>
      </x:c>
    </x:row>
    <x:row r="7">
      <x:c r="A7" s="52" t="n">
        <x:v>5</x:v>
      </x:c>
      <x:c r="B7" s="22" t="n">
        <x:f>Detalle_BOM!$H$30*A7*(1+Parametros!$B$6)</x:f>
        <x:v>1209.734925</x:v>
      </x:c>
      <x:c r="C7" s="22" t="n">
        <x:v>520</x:v>
      </x:c>
      <x:c r="D7" s="22" t="n">
        <x:v>360</x:v>
      </x:c>
      <x:c r="E7" s="22" t="n">
        <x:v>180</x:v>
      </x:c>
      <x:c r="F7" s="22" t="n">
        <x:f>A7*Parametros!$B$7</x:f>
        <x:v>600</x:v>
      </x:c>
      <x:c r="G7" s="22" t="n">
        <x:f>A7*(Parametros!$B$8+Parametros!$B$9)</x:f>
        <x:v>140</x:v>
      </x:c>
      <x:c r="H7" s="22" t="n">
        <x:f>SUM(B7:G7)</x:f>
        <x:v>3009.7349249999997</x:v>
      </x:c>
      <x:c r="I7" s="22" t="n">
        <x:f>H7*Parametros!$B$4</x:f>
        <x:v>481.55758799999995</x:v>
      </x:c>
      <x:c r="J7" s="22" t="n">
        <x:f>(H7+I7)*Parametros!$B$5</x:f>
        <x:v>349.1292513</x:v>
      </x:c>
      <x:c r="K7" s="22" t="n">
        <x:f>H7+I7+J7</x:f>
        <x:v>3840.4217642999997</x:v>
      </x:c>
      <x:c r="L7" s="22" t="n">
        <x:f>K7/A7</x:f>
        <x:v>768.08435286</x:v>
      </x:c>
      <x:c r="M7" s="53" t="n">
        <x:f>IF(A7=1,0,1-L7/$L$5)</x:f>
        <x:v>0.4266882103575925</x:v>
      </x:c>
      <x:c r="N7" s="20" t="str">
        <x:v>Escenario equilibrado para prácticas y reposición de componentes.</x:v>
      </x:c>
    </x:row>
    <x:row r="8">
      <x:c r="A8" s="52" t="n">
        <x:v>10</x:v>
      </x:c>
      <x:c r="B8" s="22" t="n">
        <x:f>Detalle_BOM!$H$30*A8*(1+Parametros!$B$6)</x:f>
        <x:v>2419.46985</x:v>
      </x:c>
      <x:c r="C8" s="22" t="n">
        <x:v>780</x:v>
      </x:c>
      <x:c r="D8" s="22" t="n">
        <x:v>440</x:v>
      </x:c>
      <x:c r="E8" s="22" t="n">
        <x:v>220</x:v>
      </x:c>
      <x:c r="F8" s="22" t="n">
        <x:f>A8*Parametros!$B$7</x:f>
        <x:v>1200</x:v>
      </x:c>
      <x:c r="G8" s="22" t="n">
        <x:f>A8*(Parametros!$B$8+Parametros!$B$9)</x:f>
        <x:v>280</x:v>
      </x:c>
      <x:c r="H8" s="22" t="n">
        <x:f>SUM(B8:G8)</x:f>
        <x:v>5339.4698499999995</x:v>
      </x:c>
      <x:c r="I8" s="22" t="n">
        <x:f>H8*Parametros!$B$4</x:f>
        <x:v>854.315176</x:v>
      </x:c>
      <x:c r="J8" s="22" t="n">
        <x:f>(H8+I8)*Parametros!$B$5</x:f>
        <x:v>619.3785026</x:v>
      </x:c>
      <x:c r="K8" s="22" t="n">
        <x:f>H8+I8+J8</x:f>
        <x:v>6813.1635286</x:v>
      </x:c>
      <x:c r="L8" s="22" t="n">
        <x:f>K8/A8</x:f>
        <x:v>681.31635286</x:v>
      </x:c>
      <x:c r="M8" s="53" t="n">
        <x:f>IF(A8=1,0,1-L8/$L$5)</x:f>
        <x:v>0.4914533851440127</x:v>
      </x:c>
      <x:c r="N8" s="20" t="str">
        <x:v>Mejor costo unitario; requiere más organización de compras y control de stock.</x:v>
      </x:c>
    </x:row>
  </x:sheetData>
  <x:mergeCells>
    <x:mergeCell ref="A1:N1"/>
    <x:mergeCell ref="A2:N2"/>
  </x:mergeCells>
  <x:conditionalFormatting sqref="L5:L8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{BAB4D19E-5305-2389-F5EA-31AAD9CC25C3}</x14:id>
        </x:ext>
      </x:extLst>
    </x:cfRule>
  </x:conditionalFormatting>
  <x:conditionalFormatting sqref="M5:M8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1eab1221ad56486a"/>
  <x:tableParts count="1">
    <x:tablePart xmlns:r="http://schemas.openxmlformats.org/officeDocument/2006/relationships" r:id="Rae56070094be496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AB4D19E-5305-2389-F5EA-31AAD9CC25C3}">
            <x14:dataBar gradient="1">
              <x14:cfvo type="min"/>
              <x14:cfvo type="max"/>
              <x14:fillColor rgb="FF5B9BD5"/>
            </x14:dataBar>
          </x14:cfRule>
          <xm:sqref>L5:L8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8" hidden="0" customWidth="1"/>
    <x:col min="4" max="4" width="42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2" hidden="0" customWidth="1"/>
    <x:col min="10" max="10" width="36" hidden="0" customWidth="1"/>
  </x:cols>
  <x:sheetData>
    <x:row r="1">
      <x:c r="A1" s="4" t="str">
        <x:v>Detalle del BOM utilizado para estimar costos por cantidad de prototipos</x:v>
      </x:c>
    </x:row>
    <x:row r="3">
      <x:c r="A3" s="36" t="str">
        <x:v>No.</x:v>
      </x:c>
      <x:c r="B3" s="36" t="str">
        <x:v>Cantidad por tarjeta</x:v>
      </x:c>
      <x:c r="C3" s="36" t="str">
        <x:v>Referencia</x:v>
      </x:c>
      <x:c r="D3" s="36" t="str">
        <x:v>Componente</x:v>
      </x:c>
      <x:c r="E3" s="36" t="str">
        <x:v>Categoría</x:v>
      </x:c>
      <x:c r="F3" s="36" t="str">
        <x:v>Proveedor base</x:v>
      </x:c>
      <x:c r="G3" s="36" t="str">
        <x:v>Precio unitario MXN</x:v>
      </x:c>
      <x:c r="H3" s="36" t="str">
        <x:v>Subtotal por tarjeta MXN</x:v>
      </x:c>
      <x:c r="I3" s="36" t="str">
        <x:v>Prioridad</x:v>
      </x:c>
      <x:c r="J3" s="36" t="str">
        <x:v>Nota breve</x:v>
      </x:c>
    </x:row>
    <x:row r="4">
      <x:c r="A4" s="20" t="n">
        <x:v>1</x:v>
      </x:c>
      <x:c r="B4" s="20" t="n">
        <x:v>1</x:v>
      </x:c>
      <x:c r="C4" s="20" t="str">
        <x:v>U1</x:v>
      </x:c>
      <x:c r="D4" s="20" t="str">
        <x:v>Microcontrolador PIC32MX220F032D-I/PT</x:v>
      </x:c>
      <x:c r="E4" s="20" t="str">
        <x:v>Microcontrolador</x:v>
      </x:c>
      <x:c r="F4" s="20" t="str">
        <x:v>Mouser México</x:v>
      </x:c>
      <x:c r="G4" s="22" t="n">
        <x:v>86.58</x:v>
      </x:c>
      <x:c r="H4" s="22" t="n">
        <x:f>B4*G4</x:f>
        <x:v>86.58</x:v>
      </x:c>
      <x:c r="I4" s="20" t="str">
        <x:v>Alta</x:v>
      </x:c>
      <x:c r="J4" s="20" t="str">
        <x:v>Cotización base; validar stock antes de compra.</x:v>
      </x:c>
    </x:row>
    <x:row r="5">
      <x:c r="A5" s="20" t="n">
        <x:v>2</x:v>
      </x:c>
      <x:c r="B5" s="20" t="n">
        <x:v>1</x:v>
      </x:c>
      <x:c r="C5" s="20" t="str">
        <x:v>USB_DEV</x:v>
      </x:c>
      <x:c r="D5" s="20" t="str">
        <x:v>Conector USB Mini-B SMD, USB-MINI</x:v>
      </x:c>
      <x:c r="E5" s="20" t="str">
        <x:v>Conectores</x:v>
      </x:c>
      <x:c r="F5" s="20" t="str">
        <x:v>SparkFun</x:v>
      </x:c>
      <x:c r="G5" s="22" t="n">
        <x:v>36.074999999999996</x:v>
      </x:c>
      <x:c r="H5" s="22" t="n">
        <x:f>B5*G5</x:f>
        <x:v>36.074999999999996</x:v>
      </x:c>
      <x:c r="I5" s="20" t="str">
        <x:v>Alta</x:v>
      </x:c>
      <x:c r="J5" s="20" t="str">
        <x:v>Revisar huella física antes de confirmar compra.</x:v>
      </x:c>
    </x:row>
    <x:row r="6">
      <x:c r="A6" s="20" t="n">
        <x:v>3</x:v>
      </x:c>
      <x:c r="B6" s="20" t="n">
        <x:v>1</x:v>
      </x:c>
      <x:c r="C6" s="20" t="str">
        <x:v>3.7V-LI_BAT</x:v>
      </x:c>
      <x:c r="D6" s="20" t="str">
        <x:v>Conector de batería Li-Po 3.7 V, 2 pines DW02R</x:v>
      </x:c>
      <x:c r="E6" s="20" t="str">
        <x:v>Alimentación</x:v>
      </x:c>
      <x:c r="F6" s="20" t="str">
        <x:v>INTESC</x:v>
      </x:c>
      <x:c r="G6" s="22" t="n">
        <x:v>5</x:v>
      </x:c>
      <x:c r="H6" s="22" t="n">
        <x:f>B6*G6</x:f>
        <x:v>5</x:v>
      </x:c>
      <x:c r="I6" s="20" t="str">
        <x:v>Media</x:v>
      </x:c>
      <x:c r="J6" s="20" t="str">
        <x:v>Alternativa local de bajo costo.</x:v>
      </x:c>
    </x:row>
    <x:row r="7">
      <x:c r="A7" s="20" t="n">
        <x:v>4</x:v>
      </x:c>
      <x:c r="B7" s="20" t="n">
        <x:v>1</x:v>
      </x:c>
      <x:c r="C7" s="20" t="str">
        <x:v>PWR</x:v>
      </x:c>
      <x:c r="D7" s="20" t="str">
        <x:v>Jack/conector de alimentación 5 VDC YDJ-1136</x:v>
      </x:c>
      <x:c r="E7" s="20" t="str">
        <x:v>Alimentación</x:v>
      </x:c>
      <x:c r="F7" s="20" t="str">
        <x:v>Idea Electrónica</x:v>
      </x:c>
      <x:c r="G7" s="22" t="n">
        <x:v>5.5</x:v>
      </x:c>
      <x:c r="H7" s="22" t="n">
        <x:f>B7*G7</x:f>
        <x:v>5.5</x:v>
      </x:c>
      <x:c r="I7" s="20" t="str">
        <x:v>Media</x:v>
      </x:c>
      <x:c r="J7" s="20" t="str">
        <x:v>Elemento opcional; confirmar si se montará en esta versión.</x:v>
      </x:c>
    </x:row>
    <x:row r="8">
      <x:c r="A8" s="20" t="n">
        <x:v>5</x:v>
      </x:c>
      <x:c r="B8" s="20" t="n">
        <x:v>1</x:v>
      </x:c>
      <x:c r="C8" s="20" t="str">
        <x:v>D1</x:v>
      </x:c>
      <x:c r="D8" s="20" t="str">
        <x:v>Diodo Schottky BAT54C, SMD</x:v>
      </x:c>
      <x:c r="E8" s="20" t="str">
        <x:v>Protección</x:v>
      </x:c>
      <x:c r="F8" s="20" t="str">
        <x:v>Teknomovo</x:v>
      </x:c>
      <x:c r="G8" s="22" t="n">
        <x:v>4.5</x:v>
      </x:c>
      <x:c r="H8" s="22" t="n">
        <x:f>B8*G8</x:f>
        <x:v>4.5</x:v>
      </x:c>
      <x:c r="I8" s="20" t="str">
        <x:v>Alta</x:v>
      </x:c>
      <x:c r="J8" s="20" t="str">
        <x:v>Precio calculado por pieza desde paquete de 20 unidades.</x:v>
      </x:c>
    </x:row>
    <x:row r="9">
      <x:c r="A9" s="20" t="n">
        <x:v>6</x:v>
      </x:c>
      <x:c r="B9" s="20" t="n">
        <x:v>1</x:v>
      </x:c>
      <x:c r="C9" s="20" t="str">
        <x:v>VR2</x:v>
      </x:c>
      <x:c r="D9" s="20" t="str">
        <x:v>Regulador LDO 3.3 V MCP1700T-3302E/MB</x:v>
      </x:c>
      <x:c r="E9" s="20" t="str">
        <x:v>Regulación</x:v>
      </x:c>
      <x:c r="F9" s="20" t="str">
        <x:v>LCSC</x:v>
      </x:c>
      <x:c r="G9" s="22" t="n">
        <x:v>10.0307</x:v>
      </x:c>
      <x:c r="H9" s="22" t="n">
        <x:f>B9*G9</x:f>
        <x:v>10.0307</x:v>
      </x:c>
      <x:c r="I9" s="20" t="str">
        <x:v>Alta</x:v>
      </x:c>
      <x:c r="J9" s="20" t="str">
        <x:v>Componente crítico para alimentación de 3.3 V.</x:v>
      </x:c>
    </x:row>
    <x:row r="10">
      <x:c r="A10" s="20" t="n">
        <x:v>7</x:v>
      </x:c>
      <x:c r="B10" s="20" t="n">
        <x:v>1</x:v>
      </x:c>
      <x:c r="C10" s="20" t="str">
        <x:v>VR1</x:v>
      </x:c>
      <x:c r="D10" s="20" t="str">
        <x:v>Regulador ajustable LM1117IMPX-ADJ</x:v>
      </x:c>
      <x:c r="E10" s="20" t="str">
        <x:v>Regulación</x:v>
      </x:c>
      <x:c r="F10" s="20" t="str">
        <x:v>Mouser</x:v>
      </x:c>
      <x:c r="G10" s="22" t="n">
        <x:v>19.240000000000002</x:v>
      </x:c>
      <x:c r="H10" s="22" t="n">
        <x:f>B10*G10</x:f>
        <x:v>19.240000000000002</x:v>
      </x:c>
      <x:c r="I10" s="20" t="str">
        <x:v>Media</x:v>
      </x:c>
      <x:c r="J10" s="20" t="str">
        <x:v>Marcado como opcional en la lista; confirmar ensamble.</x:v>
      </x:c>
    </x:row>
    <x:row r="11">
      <x:c r="A11" s="20" t="n">
        <x:v>8</x:v>
      </x:c>
      <x:c r="B11" s="20" t="n">
        <x:v>1</x:v>
      </x:c>
      <x:c r="C11" s="20" t="str">
        <x:v>Q1</x:v>
      </x:c>
      <x:c r="D11" s="20" t="str">
        <x:v>Cristal de cuarzo 8.000 MHz HC-49SM SMD, 20 pF, 20 ppm</x:v>
      </x:c>
      <x:c r="E11" s="20" t="str">
        <x:v>Oscilador</x:v>
      </x:c>
      <x:c r="F11" s="20" t="str">
        <x:v>INTESC</x:v>
      </x:c>
      <x:c r="G11" s="22" t="n">
        <x:v>6</x:v>
      </x:c>
      <x:c r="H11" s="22" t="n">
        <x:f>B11*G11</x:f>
        <x:v>6</x:v>
      </x:c>
      <x:c r="I11" s="20" t="str">
        <x:v>Alta</x:v>
      </x:c>
      <x:c r="J11" s="20" t="str">
        <x:v>Validar frecuencia y capacitores asociados.</x:v>
      </x:c>
    </x:row>
    <x:row r="12">
      <x:c r="A12" s="20" t="n">
        <x:v>9</x:v>
      </x:c>
      <x:c r="B12" s="20" t="n">
        <x:v>1</x:v>
      </x:c>
      <x:c r="C12" s="20" t="str">
        <x:v>LED1</x:v>
      </x:c>
      <x:c r="D12" s="20" t="str">
        <x:v>LED verde SMD 0603</x:v>
      </x:c>
      <x:c r="E12" s="20" t="str">
        <x:v>Indicadores</x:v>
      </x:c>
      <x:c r="F12" s="20" t="str">
        <x:v>Aelectronics</x:v>
      </x:c>
      <x:c r="G12" s="22" t="n">
        <x:v>1.5</x:v>
      </x:c>
      <x:c r="H12" s="22" t="n">
        <x:f>B12*G12</x:f>
        <x:v>1.5</x:v>
      </x:c>
      <x:c r="I12" s="20" t="str">
        <x:v>Baja</x:v>
      </x:c>
      <x:c r="J12" s="20" t="str">
        <x:v>Indicador visual; no bloquea pruebas principales.</x:v>
      </x:c>
    </x:row>
    <x:row r="13">
      <x:c r="A13" s="20" t="n">
        <x:v>10</x:v>
      </x:c>
      <x:c r="B13" s="20" t="n">
        <x:v>1</x:v>
      </x:c>
      <x:c r="C13" s="20" t="str">
        <x:v>LED2</x:v>
      </x:c>
      <x:c r="D13" s="20" t="str">
        <x:v>LED rojo SMD 0603</x:v>
      </x:c>
      <x:c r="E13" s="20" t="str">
        <x:v>Indicadores</x:v>
      </x:c>
      <x:c r="F13" s="20" t="str">
        <x:v>Uelectronics</x:v>
      </x:c>
      <x:c r="G13" s="22" t="n">
        <x:v>0.5</x:v>
      </x:c>
      <x:c r="H13" s="22" t="n">
        <x:f>B13*G13</x:f>
        <x:v>0.5</x:v>
      </x:c>
      <x:c r="I13" s="20" t="str">
        <x:v>Baja</x:v>
      </x:c>
      <x:c r="J13" s="20" t="str">
        <x:v>Indicador visual; revisar polaridad en ensamble.</x:v>
      </x:c>
    </x:row>
    <x:row r="14">
      <x:c r="A14" s="20" t="n">
        <x:v>11</x:v>
      </x:c>
      <x:c r="B14" s="20" t="n">
        <x:v>2</x:v>
      </x:c>
      <x:c r="C14" s="20" t="str">
        <x:v>BUT, RST</x:v>
      </x:c>
      <x:c r="D14" s="20" t="str">
        <x:v>Botón pulsador táctil SMD T1107A 6 x 3.8 x 2.5 mm</x:v>
      </x:c>
      <x:c r="E14" s="20" t="str">
        <x:v>Interfaz</x:v>
      </x:c>
      <x:c r="F14" s="20" t="str">
        <x:v>SIEEG</x:v>
      </x:c>
      <x:c r="G14" s="22" t="n">
        <x:v>2</x:v>
      </x:c>
      <x:c r="H14" s="22" t="n">
        <x:f>B14*G14</x:f>
        <x:v>4</x:v>
      </x:c>
      <x:c r="I14" s="20" t="str">
        <x:v>Media</x:v>
      </x:c>
      <x:c r="J14" s="20" t="str">
        <x:v>Se requieren dos piezas: botón de usuario y reset.</x:v>
      </x:c>
    </x:row>
    <x:row r="15">
      <x:c r="A15" s="20" t="n">
        <x:v>12</x:v>
      </x:c>
      <x:c r="B15" s="20" t="n">
        <x:v>1</x:v>
      </x:c>
      <x:c r="C15" s="20" t="str">
        <x:v>UEXT</x:v>
      </x:c>
      <x:c r="D15" s="20" t="str">
        <x:v>Conector UEXT BH10R, 10 pines</x:v>
      </x:c>
      <x:c r="E15" s="20" t="str">
        <x:v>Conectores</x:v>
      </x:c>
      <x:c r="F15" s="20" t="str">
        <x:v>Idea Electrónica</x:v>
      </x:c>
      <x:c r="G15" s="22" t="n">
        <x:v>5.5</x:v>
      </x:c>
      <x:c r="H15" s="22" t="n">
        <x:f>B15*G15</x:f>
        <x:v>5.5</x:v>
      </x:c>
      <x:c r="I15" s="20" t="str">
        <x:v>Media</x:v>
      </x:c>
      <x:c r="J15" s="20" t="str">
        <x:v>Opción similar 2x5 IDC; revisar orientación.</x:v>
      </x:c>
    </x:row>
    <x:row r="16">
      <x:c r="A16" s="20" t="n">
        <x:v>13</x:v>
      </x:c>
      <x:c r="B16" s="20" t="n">
        <x:v>1</x:v>
      </x:c>
      <x:c r="C16" s="20" t="str">
        <x:v>ICSP</x:v>
      </x:c>
      <x:c r="D16" s="20" t="str">
        <x:v>Header ICSP WF6S, 6 pines</x:v>
      </x:c>
      <x:c r="E16" s="20" t="str">
        <x:v>Programación</x:v>
      </x:c>
      <x:c r="F16" s="20" t="str">
        <x:v>INTESC</x:v>
      </x:c>
      <x:c r="G16" s="22" t="n">
        <x:v>5</x:v>
      </x:c>
      <x:c r="H16" s="22" t="n">
        <x:f>B16*G16</x:f>
        <x:v>5</x:v>
      </x:c>
      <x:c r="I16" s="20" t="str">
        <x:v>Alta</x:v>
      </x:c>
      <x:c r="J16" s="20" t="str">
        <x:v>Indispensable para programar o grabar bootloader.</x:v>
      </x:c>
    </x:row>
    <x:row r="17">
      <x:c r="A17" s="20" t="n">
        <x:v>14</x:v>
      </x:c>
      <x:c r="B17" s="20" t="n">
        <x:v>1</x:v>
      </x:c>
      <x:c r="C17" s="20" t="str">
        <x:v>CON1, CON2, CON4, CON5</x:v>
      </x:c>
      <x:c r="D17" s="20" t="str">
        <x:v>Juego de headers Arduino: 2 x PN1x8 + 2 x PN1x6</x:v>
      </x:c>
      <x:c r="E17" s="20" t="str">
        <x:v>Conectores</x:v>
      </x:c>
      <x:c r="F17" s="20" t="str">
        <x:v>Rantec</x:v>
      </x:c>
      <x:c r="G17" s="22" t="n">
        <x:v>5</x:v>
      </x:c>
      <x:c r="H17" s="22" t="n">
        <x:f>B17*G17</x:f>
        <x:v>5</x:v>
      </x:c>
      <x:c r="I17" s="20" t="str">
        <x:v>Media</x:v>
      </x:c>
      <x:c r="J17" s="20" t="str">
        <x:v>Tira hembra recortable; revisar cantidad real por tarjeta.</x:v>
      </x:c>
    </x:row>
    <x:row r="18">
      <x:c r="A18" s="20" t="n">
        <x:v>15</x:v>
      </x:c>
      <x:c r="B18" s="20" t="n">
        <x:v>1</x:v>
      </x:c>
      <x:c r="C18" s="20" t="str">
        <x:v>R1</x:v>
      </x:c>
      <x:c r="D18" s="20" t="str">
        <x:v>Resistencia SMD 240 Ω, 1%</x:v>
      </x:c>
      <x:c r="E18" s="20" t="str">
        <x:v>Pasivos</x:v>
      </x:c>
      <x:c r="F18" s="20" t="str">
        <x:v>INTESC</x:v>
      </x:c>
      <x:c r="G18" s="22" t="n">
        <x:v>0.25</x:v>
      </x:c>
      <x:c r="H18" s="22" t="n">
        <x:f>B18*G18</x:f>
        <x:v>0.25</x:v>
      </x:c>
      <x:c r="I18" s="20" t="str">
        <x:v>Baja</x:v>
      </x:c>
      <x:c r="J18" s="20" t="str">
        <x:v>Valor de resistencia según BOM.</x:v>
      </x:c>
    </x:row>
    <x:row r="19">
      <x:c r="A19" s="20" t="n">
        <x:v>16</x:v>
      </x:c>
      <x:c r="B19" s="20" t="n">
        <x:v>1</x:v>
      </x:c>
      <x:c r="C19" s="20" t="str">
        <x:v>R2</x:v>
      </x:c>
      <x:c r="D19" s="20" t="str">
        <x:v>Resistencia SMD 390 Ω, 1%</x:v>
      </x:c>
      <x:c r="E19" s="20" t="str">
        <x:v>Pasivos</x:v>
      </x:c>
      <x:c r="F19" s="20" t="str">
        <x:v>INTESC</x:v>
      </x:c>
      <x:c r="G19" s="22" t="n">
        <x:v>0.25</x:v>
      </x:c>
      <x:c r="H19" s="22" t="n">
        <x:f>B19*G19</x:f>
        <x:v>0.25</x:v>
      </x:c>
      <x:c r="I19" s="20" t="str">
        <x:v>Baja</x:v>
      </x:c>
      <x:c r="J19" s="20" t="str">
        <x:v>Valor de resistencia según BOM.</x:v>
      </x:c>
    </x:row>
    <x:row r="20">
      <x:c r="A20" s="20" t="n">
        <x:v>17</x:v>
      </x:c>
      <x:c r="B20" s="20" t="n">
        <x:v>2</x:v>
      </x:c>
      <x:c r="C20" s="20" t="str">
        <x:v>R3, R4</x:v>
      </x:c>
      <x:c r="D20" s="20" t="str">
        <x:v>Resistencia SMD 2 kΩ</x:v>
      </x:c>
      <x:c r="E20" s="20" t="str">
        <x:v>Pasivos</x:v>
      </x:c>
      <x:c r="F20" s="20" t="str">
        <x:v>INTESC</x:v>
      </x:c>
      <x:c r="G20" s="22" t="n">
        <x:v>0.25</x:v>
      </x:c>
      <x:c r="H20" s="22" t="n">
        <x:f>B20*G20</x:f>
        <x:v>0.5</x:v>
      </x:c>
      <x:c r="I20" s="20" t="str">
        <x:v>Baja</x:v>
      </x:c>
      <x:c r="J20" s="20" t="str">
        <x:v>Cantidad total considerada en el costo.</x:v>
      </x:c>
    </x:row>
    <x:row r="21">
      <x:c r="A21" s="20" t="n">
        <x:v>18</x:v>
      </x:c>
      <x:c r="B21" s="20" t="n">
        <x:v>4</x:v>
      </x:c>
      <x:c r="C21" s="20" t="str">
        <x:v>R5, R6, R8, R9</x:v>
      </x:c>
      <x:c r="D21" s="20" t="str">
        <x:v>Resistencia SMD 4.7 kΩ</x:v>
      </x:c>
      <x:c r="E21" s="20" t="str">
        <x:v>Pasivos</x:v>
      </x:c>
      <x:c r="F21" s="20" t="str">
        <x:v>INTESC</x:v>
      </x:c>
      <x:c r="G21" s="22" t="n">
        <x:v>0.25</x:v>
      </x:c>
      <x:c r="H21" s="22" t="n">
        <x:f>B21*G21</x:f>
        <x:v>1</x:v>
      </x:c>
      <x:c r="I21" s="20" t="str">
        <x:v>Baja</x:v>
      </x:c>
      <x:c r="J21" s="20" t="str">
        <x:v>Resistencias principales de pull-up/pull-down según diseño.</x:v>
      </x:c>
    </x:row>
    <x:row r="22">
      <x:c r="A22" s="20" t="n">
        <x:v>19</x:v>
      </x:c>
      <x:c r="B22" s="20" t="n">
        <x:v>2</x:v>
      </x:c>
      <x:c r="C22" s="20" t="str">
        <x:v>R opcionales</x:v>
      </x:c>
      <x:c r="D22" s="20" t="str">
        <x:v>Resistencia SMD 4.7 kΩ, opcional/NA</x:v>
      </x:c>
      <x:c r="E22" s="20" t="str">
        <x:v>Pasivos</x:v>
      </x:c>
      <x:c r="F22" s="20" t="str">
        <x:v>INTESC</x:v>
      </x:c>
      <x:c r="G22" s="22" t="n">
        <x:v>0.25</x:v>
      </x:c>
      <x:c r="H22" s="22" t="n">
        <x:f>B22*G22</x:f>
        <x:v>0.5</x:v>
      </x:c>
      <x:c r="I22" s="20" t="str">
        <x:v>Baja</x:v>
      </x:c>
      <x:c r="J22" s="20" t="str">
        <x:v>Partidas opcionales; confirmar si entran al ensamble.</x:v>
      </x:c>
    </x:row>
    <x:row r="23">
      <x:c r="A23" s="20" t="n">
        <x:v>20</x:v>
      </x:c>
      <x:c r="B23" s="20" t="n">
        <x:v>1</x:v>
      </x:c>
      <x:c r="C23" s="20" t="str">
        <x:v>R7</x:v>
      </x:c>
      <x:c r="D23" s="20" t="str">
        <x:v>Resistencia SMD 33 kΩ</x:v>
      </x:c>
      <x:c r="E23" s="20" t="str">
        <x:v>Pasivos</x:v>
      </x:c>
      <x:c r="F23" s="20" t="str">
        <x:v>INTESC</x:v>
      </x:c>
      <x:c r="G23" s="22" t="n">
        <x:v>0.25</x:v>
      </x:c>
      <x:c r="H23" s="22" t="n">
        <x:f>B23*G23</x:f>
        <x:v>0.25</x:v>
      </x:c>
      <x:c r="I23" s="20" t="str">
        <x:v>Baja</x:v>
      </x:c>
      <x:c r="J23" s="20" t="str">
        <x:v>Valor específico del divisor o configuración del circuito.</x:v>
      </x:c>
    </x:row>
    <x:row r="24">
      <x:c r="A24" s="20" t="n">
        <x:v>21</x:v>
      </x:c>
      <x:c r="B24" s="20" t="n">
        <x:v>1</x:v>
      </x:c>
      <x:c r="C24" s="20" t="str">
        <x:v>Jumper</x:v>
      </x:c>
      <x:c r="D24" s="20" t="str">
        <x:v>Resistencia SMD 0 Ω / jumper, Board Mounted</x:v>
      </x:c>
      <x:c r="E24" s="20" t="str">
        <x:v>Pasivos</x:v>
      </x:c>
      <x:c r="F24" s="20" t="str">
        <x:v>INTESC</x:v>
      </x:c>
      <x:c r="G24" s="22" t="n">
        <x:v>0.25</x:v>
      </x:c>
      <x:c r="H24" s="22" t="n">
        <x:f>B24*G24</x:f>
        <x:v>0.25</x:v>
      </x:c>
      <x:c r="I24" s="20" t="str">
        <x:v>Baja</x:v>
      </x:c>
      <x:c r="J24" s="20" t="str">
        <x:v>Puede sustituirse por jumper 0 Ω compatible.</x:v>
      </x:c>
    </x:row>
    <x:row r="25">
      <x:c r="A25" s="20" t="n">
        <x:v>22</x:v>
      </x:c>
      <x:c r="B25" s="20" t="n">
        <x:v>7</x:v>
      </x:c>
      <x:c r="C25" s="20" t="str">
        <x:v>C varios</x:v>
      </x:c>
      <x:c r="D25" s="20" t="str">
        <x:v>Capacitor cerámico SMD 100 nF</x:v>
      </x:c>
      <x:c r="E25" s="20" t="str">
        <x:v>Pasivos</x:v>
      </x:c>
      <x:c r="F25" s="20" t="str">
        <x:v>Aelectronics</x:v>
      </x:c>
      <x:c r="G25" s="22" t="n">
        <x:v>2</x:v>
      </x:c>
      <x:c r="H25" s="22" t="n">
        <x:f>B25*G25</x:f>
        <x:v>14</x:v>
      </x:c>
      <x:c r="I25" s="20" t="str">
        <x:v>Alta</x:v>
      </x:c>
      <x:c r="J25" s="20" t="str">
        <x:v>Desacoplo; conviene comprar piezas extra.</x:v>
      </x:c>
    </x:row>
    <x:row r="26">
      <x:c r="A26" s="20" t="n">
        <x:v>23</x:v>
      </x:c>
      <x:c r="B26" s="20" t="n">
        <x:v>4</x:v>
      </x:c>
      <x:c r="C26" s="20" t="str">
        <x:v>C varios</x:v>
      </x:c>
      <x:c r="D26" s="20" t="str">
        <x:v>Capacitor SMD 10 µF / 10 V</x:v>
      </x:c>
      <x:c r="E26" s="20" t="str">
        <x:v>Pasivos</x:v>
      </x:c>
      <x:c r="F26" s="20" t="str">
        <x:v>Aelectronics</x:v>
      </x:c>
      <x:c r="G26" s="22" t="n">
        <x:v>4</x:v>
      </x:c>
      <x:c r="H26" s="22" t="n">
        <x:f>B26*G26</x:f>
        <x:v>16</x:v>
      </x:c>
      <x:c r="I26" s="20" t="str">
        <x:v>Alta</x:v>
      </x:c>
      <x:c r="J26" s="20" t="str">
        <x:v>Importante para estabilidad de regulación y VCAP.</x:v>
      </x:c>
    </x:row>
    <x:row r="27">
      <x:c r="A27" s="20" t="n">
        <x:v>24</x:v>
      </x:c>
      <x:c r="B27" s="20" t="n">
        <x:v>2</x:v>
      </x:c>
      <x:c r="C27" s="20" t="str">
        <x:v>C cristal</x:v>
      </x:c>
      <x:c r="D27" s="20" t="str">
        <x:v>Capacitor cerámico SMD 20 pF</x:v>
      </x:c>
      <x:c r="E27" s="20" t="str">
        <x:v>Pasivos</x:v>
      </x:c>
      <x:c r="F27" s="20" t="str">
        <x:v>Uelectronics</x:v>
      </x:c>
      <x:c r="G27" s="22" t="n">
        <x:v>0.5</x:v>
      </x:c>
      <x:c r="H27" s="22" t="n">
        <x:f>B27*G27</x:f>
        <x:v>1</x:v>
      </x:c>
      <x:c r="I27" s="20" t="str">
        <x:v>Media</x:v>
      </x:c>
      <x:c r="J27" s="20" t="str">
        <x:v>Asociado al cristal; confirmar valor final.</x:v>
      </x:c>
    </x:row>
    <x:row r="28">
      <x:c r="A28" s="20" t="n">
        <x:v>25</x:v>
      </x:c>
      <x:c r="B28" s="20" t="n">
        <x:v>1</x:v>
      </x:c>
      <x:c r="C28" s="20" t="str">
        <x:v>C filtro</x:v>
      </x:c>
      <x:c r="D28" s="20" t="str">
        <x:v>Capacitor cerámico SMD 10 nF</x:v>
      </x:c>
      <x:c r="E28" s="20" t="str">
        <x:v>Pasivos</x:v>
      </x:c>
      <x:c r="F28" s="20" t="str">
        <x:v>Aelectronics</x:v>
      </x:c>
      <x:c r="G28" s="22" t="n">
        <x:v>2</x:v>
      </x:c>
      <x:c r="H28" s="22" t="n">
        <x:f>B28*G28</x:f>
        <x:v>2</x:v>
      </x:c>
      <x:c r="I28" s="20" t="str">
        <x:v>Media</x:v>
      </x:c>
      <x:c r="J28" s="20" t="str">
        <x:v>Capacitor de filtrado según BOM.</x:v>
      </x:c>
    </x:row>
    <x:row r="29">
      <x:c r="A29" s="20"/>
      <x:c r="B29" s="20"/>
      <x:c r="C29" s="20"/>
      <x:c r="D29" s="20"/>
      <x:c r="E29" s="20"/>
      <x:c r="F29" s="20"/>
      <x:c r="G29" s="22"/>
      <x:c r="H29" s="22"/>
      <x:c r="I29" s="20"/>
      <x:c r="J29" s="20"/>
    </x:row>
    <x:row r="30">
      <x:c r="A30" s="37" t="str">
        <x:v>Total estimado de componentes por tarjeta</x:v>
      </x:c>
      <x:c r="B30" s="37"/>
      <x:c r="C30" s="37"/>
      <x:c r="D30" s="37"/>
      <x:c r="E30" s="37"/>
      <x:c r="F30" s="37"/>
      <x:c r="G30" s="38"/>
      <x:c r="H30" s="38" t="n">
        <x:f>SUM(H4:H28)</x:f>
        <x:v>230.4257</x:v>
      </x:c>
      <x:c r="I30" s="20"/>
      <x:c r="J30" s="20"/>
    </x:row>
  </x:sheetData>
  <x:mergeCells>
    <x:mergeCell ref="A1:J1"/>
    <x:mergeCell ref="A30:G30"/>
  </x:mergeCells>
  <x:pageMargins left="0.7" right="0.7" top="0.75" bottom="0.75" header="0.3" footer="0.3"/>
  <x:tableParts count="1">
    <x:tablePart xmlns:r="http://schemas.openxmlformats.org/officeDocument/2006/relationships" r:id="R1dd7cdd6cf524b0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.130000114440918" hidden="0" customWidth="1"/>
    <x:col min="3" max="3" width="9.880000114440918" hidden="0" customWidth="1"/>
    <x:col min="4" max="4" width="58" hidden="0" customWidth="1"/>
  </x:cols>
  <x:sheetData>
    <x:row r="1">
      <x:c r="A1" s="4" t="str">
        <x:v>Parámetros usados para el cálculo</x:v>
      </x:c>
    </x:row>
    <x:row r="3">
      <x:c r="A3" s="16" t="str">
        <x:v>Concepto</x:v>
      </x:c>
      <x:c r="B3" s="16" t="str">
        <x:v>Valor</x:v>
      </x:c>
      <x:c r="C3" s="16" t="str">
        <x:v>Unidad</x:v>
      </x:c>
      <x:c r="D3" s="16" t="str">
        <x:v>Observación</x:v>
      </x:c>
    </x:row>
    <x:row r="4">
      <x:c r="A4" s="20" t="str">
        <x:v>IVA estimado</x:v>
      </x:c>
      <x:c r="B4" s="21" t="n">
        <x:v>0.16</x:v>
      </x:c>
      <x:c r="C4" s="20" t="str">
        <x:v>%</x:v>
      </x:c>
      <x:c r="D4" s="20" t="str">
        <x:v>Se aplica como referencia administrativa; puede cambiar según proveedor.</x:v>
      </x:c>
    </x:row>
    <x:row r="5">
      <x:c r="A5" s="20" t="str">
        <x:v>Contingencia</x:v>
      </x:c>
      <x:c r="B5" s="21" t="n">
        <x:v>0.1</x:v>
      </x:c>
      <x:c r="C5" s="20" t="str">
        <x:v>%</x:v>
      </x:c>
      <x:c r="D5" s="20" t="str">
        <x:v>Margen para variaciones de precio, faltantes o piezas dañadas.</x:v>
      </x:c>
    </x:row>
    <x:row r="6">
      <x:c r="A6" s="20" t="str">
        <x:v>Merma de componentes</x:v>
      </x:c>
      <x:c r="B6" s="21" t="n">
        <x:v>0.05</x:v>
      </x:c>
      <x:c r="C6" s="20" t="str">
        <x:v>%</x:v>
      </x:c>
      <x:c r="D6" s="20" t="str">
        <x:v>Se considera una reserva por manejo, pérdida o retrabajo.</x:v>
      </x:c>
    </x:row>
    <x:row r="7">
      <x:c r="A7" s="20" t="str">
        <x:v>Mano de obra y prueba por tarjeta</x:v>
      </x:c>
      <x:c r="B7" s="22" t="n">
        <x:v>120</x:v>
      </x:c>
      <x:c r="C7" s="20" t="str">
        <x:v>MXN/tarjeta</x:v>
      </x:c>
      <x:c r="D7" s="20" t="str">
        <x:v>Incluye revisión visual, soldadura básica y prueba inicial.</x:v>
      </x:c>
    </x:row>
    <x:row r="8">
      <x:c r="A8" s="20" t="str">
        <x:v>Consumibles por tarjeta</x:v>
      </x:c>
      <x:c r="B8" s="22" t="n">
        <x:v>18</x:v>
      </x:c>
      <x:c r="C8" s="20" t="str">
        <x:v>MXN/tarjeta</x:v>
      </x:c>
      <x:c r="D8" s="20" t="str">
        <x:v>Soldadura, flux, alcohol, cinta, etiquetas y limpieza.</x:v>
      </x:c>
    </x:row>
    <x:row r="9">
      <x:c r="A9" s="20" t="str">
        <x:v>Documentación por tarjeta</x:v>
      </x:c>
      <x:c r="B9" s="22" t="n">
        <x:v>10</x:v>
      </x:c>
      <x:c r="C9" s="20" t="str">
        <x:v>MXN/tarjeta</x:v>
      </x:c>
      <x:c r="D9" s="20" t="str">
        <x:v>Impresión o integración de evidencia técnica-administrativa.</x:v>
      </x:c>
    </x:row>
    <x:row r="10">
      <x:c r="A10" s="20" t="str">
        <x:v>Tipo de cambio de referencia</x:v>
      </x:c>
      <x:c r="B10" s="22" t="n">
        <x:v>18.5</x:v>
      </x:c>
      <x:c r="C10" s="20" t="str">
        <x:v>MXN/USD</x:v>
      </x:c>
      <x:c r="D10" s="20" t="str">
        <x:v>Se conserva el tipo de cambio usado en cotizaciones previas.</x:v>
      </x:c>
    </x:row>
    <x:row r="11">
      <x:c r="A11" s="20" t="str">
        <x:v>Fecha de actualización</x:v>
      </x:c>
      <x:c r="B11" s="23" t="n">
        <x:v>46193</x:v>
      </x:c>
      <x:c r="C11" s="20" t="str">
        <x:v>fecha</x:v>
      </x:c>
      <x:c r="D11" s="20" t="str">
        <x:v>Base administrativa para comparación posterior.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2936bd7971b48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65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4" t="str">
        <x:v>Notas de uso y revisión</x:v>
      </x:c>
    </x:row>
    <x:row r="3">
      <x:c r="A3" s="36" t="str">
        <x:v>No.</x:v>
      </x:c>
      <x:c r="B3" s="36" t="str">
        <x:v>Tema</x:v>
      </x:c>
      <x:c r="C3" s="36" t="str">
        <x:v>Nota</x:v>
      </x:c>
      <x:c r="D3" s="36" t="str">
        <x:v>Responsable sugerido</x:v>
      </x:c>
      <x:c r="E3" s="36" t="str">
        <x:v>Impacto</x:v>
      </x:c>
      <x:c r="F3" s="36" t="str">
        <x:v>Estatus</x:v>
      </x:c>
    </x:row>
    <x:row r="4">
      <x:c r="A4" s="20" t="n">
        <x:v>1</x:v>
      </x:c>
      <x:c r="B4" s="20" t="str">
        <x:v>Actualización de precios</x:v>
      </x:c>
      <x:c r="C4" s="20" t="str">
        <x:v>Las cotizaciones deben revisarse antes de cerrar la compra, porque el stock y tipo de cambio pueden cambiar.</x:v>
      </x:c>
      <x:c r="D4" s="20" t="str">
        <x:v>Costos</x:v>
      </x:c>
      <x:c r="E4" s="20" t="str">
        <x:v>Medio</x:v>
      </x:c>
      <x:c r="F4" s="20" t="str">
        <x:v>Pendiente de revisión final</x:v>
      </x:c>
    </x:row>
    <x:row r="5">
      <x:c r="A5" s="20" t="n">
        <x:v>2</x:v>
      </x:c>
      <x:c r="B5" s="20" t="str">
        <x:v>PCB</x:v>
      </x:c>
      <x:c r="C5" s="20" t="str">
        <x:v>El costo de PCB se dejó como estimación por lote. Debe sustituirse por la cotización real del fabricante elegido.</x:v>
      </x:c>
      <x:c r="D5" s="20" t="str">
        <x:v>Organización</x:v>
      </x:c>
      <x:c r="E5" s="20" t="str">
        <x:v>Alto</x:v>
      </x:c>
      <x:c r="F5" s="20" t="str">
        <x:v>En seguimiento</x:v>
      </x:c>
    </x:row>
    <x:row r="6">
      <x:c r="A6" s="20" t="n">
        <x:v>3</x:v>
      </x:c>
      <x:c r="B6" s="20" t="str">
        <x:v>Envíos</x:v>
      </x:c>
      <x:c r="C6" s="20" t="str">
        <x:v>Los envíos se separaron en componentes y PCB para no subestimar el costo total del proyecto.</x:v>
      </x:c>
      <x:c r="D6" s="20" t="str">
        <x:v>Costos</x:v>
      </x:c>
      <x:c r="E6" s="20" t="str">
        <x:v>Medio</x:v>
      </x:c>
      <x:c r="F6" s="20" t="str">
        <x:v>Considerado</x:v>
      </x:c>
    </x:row>
    <x:row r="7">
      <x:c r="A7" s="20" t="n">
        <x:v>4</x:v>
      </x:c>
      <x:c r="B7" s="20" t="str">
        <x:v>Contingencia</x:v>
      </x:c>
      <x:c r="C7" s="20" t="str">
        <x:v>Se agregó una reserva del 10% para errores de compra, piezas dañadas o cambios menores.</x:v>
      </x:c>
      <x:c r="D7" s="20" t="str">
        <x:v>Costos</x:v>
      </x:c>
      <x:c r="E7" s="20" t="str">
        <x:v>Medio</x:v>
      </x:c>
      <x:c r="F7" s="20" t="str">
        <x:v>Considerado</x:v>
      </x:c>
    </x:row>
    <x:row r="8">
      <x:c r="A8" s="20" t="n">
        <x:v>5</x:v>
      </x:c>
      <x:c r="B8" s="20" t="str">
        <x:v>Escenario recomendado</x:v>
      </x:c>
      <x:c r="C8" s="20" t="str">
        <x:v>El escenario de 5 prototipos es razonable para entregar evidencia y tener piezas de respaldo.</x:v>
      </x:c>
      <x:c r="D8" s="20" t="str">
        <x:v>Equipo</x:v>
      </x:c>
      <x:c r="E8" s="20" t="str">
        <x:v>Alto</x:v>
      </x:c>
      <x:c r="F8" s="20" t="str">
        <x:v>Propuesto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8b634d5a43a47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45" hidden="0" customWidth="1"/>
    <x:col min="4" max="4" width="18" hidden="0" customWidth="1"/>
    <x:col min="5" max="5" width="18" hidden="0" customWidth="1"/>
    <x:col min="6" max="6" width="65" hidden="0" customWidth="1"/>
    <x:col min="7" max="7" width="36" hidden="0" customWidth="1"/>
  </x:cols>
  <x:sheetData>
    <x:row r="1">
      <x:c r="A1" s="4" t="str">
        <x:v>Fuentes y enlaces utilizados como referencia de precios</x:v>
      </x:c>
    </x:row>
    <x:row r="3">
      <x:c r="A3" s="36" t="str">
        <x:v>No.</x:v>
      </x:c>
      <x:c r="B3" s="36" t="str">
        <x:v>Referencia</x:v>
      </x:c>
      <x:c r="C3" s="36" t="str">
        <x:v>Componente</x:v>
      </x:c>
      <x:c r="D3" s="36" t="str">
        <x:v>Proveedor</x:v>
      </x:c>
      <x:c r="E3" s="36" t="str">
        <x:v>Moneda base</x:v>
      </x:c>
      <x:c r="F3" s="36" t="str">
        <x:v>Enlace</x:v>
      </x:c>
      <x:c r="G3" s="36" t="str">
        <x:v>Observación</x:v>
      </x:c>
    </x:row>
    <x:row r="4">
      <x:c r="A4" s="20" t="n">
        <x:v>1</x:v>
      </x:c>
      <x:c r="B4" s="20" t="str">
        <x:v>U1</x:v>
      </x:c>
      <x:c r="C4" s="20" t="str">
        <x:v>Microcontrolador PIC32MX220F032D-I/PT</x:v>
      </x:c>
      <x:c r="D4" s="20" t="str">
        <x:v>Mouser México</x:v>
      </x:c>
      <x:c r="E4" s="20" t="str">
        <x:v>USD</x:v>
      </x:c>
      <x:c r="F4" s="20" t="str">
        <x:v>https://www.mouser.mx/ProductDetail/Microchip-Technology/PIC32MX220F032D-I-PT?qs=YqCKdUdj4g1WcFz57CpzjQ%3D%3D</x:v>
      </x:c>
      <x:c r="G4" s="20" t="str">
        <x:v>Referencia tomada del control de compras del proyecto.</x:v>
      </x:c>
    </x:row>
    <x:row r="5">
      <x:c r="A5" s="20" t="n">
        <x:v>2</x:v>
      </x:c>
      <x:c r="B5" s="20" t="str">
        <x:v>USB_DEV</x:v>
      </x:c>
      <x:c r="C5" s="20" t="str">
        <x:v>Conector USB Mini-B SMD, USB-MINI</x:v>
      </x:c>
      <x:c r="D5" s="20" t="str">
        <x:v>SparkFun</x:v>
      </x:c>
      <x:c r="E5" s="20" t="str">
        <x:v>USD</x:v>
      </x:c>
      <x:c r="F5" s="20" t="str">
        <x:v>https://www.sparkfun.com/products/587</x:v>
      </x:c>
      <x:c r="G5" s="20" t="str">
        <x:v>Referencia tomada del control de compras del proyecto.</x:v>
      </x:c>
    </x:row>
    <x:row r="6">
      <x:c r="A6" s="20" t="n">
        <x:v>3</x:v>
      </x:c>
      <x:c r="B6" s="20" t="str">
        <x:v>3.7V-LI_BAT</x:v>
      </x:c>
      <x:c r="C6" s="20" t="str">
        <x:v>Conector de batería Li-Po 3.7 V, 2 pines DW02R</x:v>
      </x:c>
      <x:c r="D6" s="20" t="str">
        <x:v>INTESC</x:v>
      </x:c>
      <x:c r="E6" s="20" t="str">
        <x:v>MXN</x:v>
      </x:c>
      <x:c r="F6" s="20" t="str">
        <x:v>https://intesc.mx/productos/conector-macho-tipo-jst-de-2-pines/</x:v>
      </x:c>
      <x:c r="G6" s="20" t="str">
        <x:v>Referencia tomada del control de compras del proyecto.</x:v>
      </x:c>
    </x:row>
    <x:row r="7">
      <x:c r="A7" s="20" t="n">
        <x:v>4</x:v>
      </x:c>
      <x:c r="B7" s="20" t="str">
        <x:v>PWR</x:v>
      </x:c>
      <x:c r="C7" s="20" t="str">
        <x:v>Jack/conector de alimentación 5 VDC YDJ-1136</x:v>
      </x:c>
      <x:c r="D7" s="20" t="str">
        <x:v>Idea Electrónica</x:v>
      </x:c>
      <x:c r="E7" s="20" t="str">
        <x:v>MXN</x:v>
      </x:c>
      <x:c r="F7" s="20" t="str">
        <x:v>https://www.ideaelectronica.mx/conectores-de-energia/4293-705-571-conector-de-barril-dc-para-pcb.html</x:v>
      </x:c>
      <x:c r="G7" s="20" t="str">
        <x:v>Referencia tomada del control de compras del proyecto.</x:v>
      </x:c>
    </x:row>
    <x:row r="8">
      <x:c r="A8" s="20" t="n">
        <x:v>5</x:v>
      </x:c>
      <x:c r="B8" s="20" t="str">
        <x:v>D1</x:v>
      </x:c>
      <x:c r="C8" s="20" t="str">
        <x:v>Diodo Schottky BAT54C, SMD</x:v>
      </x:c>
      <x:c r="D8" s="20" t="str">
        <x:v>Teknomovo</x:v>
      </x:c>
      <x:c r="E8" s="20" t="str">
        <x:v>MXN</x:v>
      </x:c>
      <x:c r="F8" s="20" t="str">
        <x:v>https://teknomovo.com.mx/producto/diodo-doble-de-pequena-senal-schottky-catodo-comun-200-ma-30-v-voltaje-en-directo-muy-bajo-alta-frecuencia-smd/</x:v>
      </x:c>
      <x:c r="G8" s="20" t="str">
        <x:v>Referencia tomada del control de compras del proyecto.</x:v>
      </x:c>
    </x:row>
    <x:row r="9">
      <x:c r="A9" s="20" t="n">
        <x:v>6</x:v>
      </x:c>
      <x:c r="B9" s="20" t="str">
        <x:v>VR2</x:v>
      </x:c>
      <x:c r="C9" s="20" t="str">
        <x:v>Regulador LDO 3.3 V MCP1700T-3302E/MB</x:v>
      </x:c>
      <x:c r="D9" s="20" t="str">
        <x:v>LCSC</x:v>
      </x:c>
      <x:c r="E9" s="20" t="str">
        <x:v>USD</x:v>
      </x:c>
      <x:c r="F9" s="20" t="str">
        <x:v>https://www.lcsc.com/product-detail/C632000.html</x:v>
      </x:c>
      <x:c r="G9" s="20" t="str">
        <x:v>Referencia tomada del control de compras del proyecto.</x:v>
      </x:c>
    </x:row>
    <x:row r="10">
      <x:c r="A10" s="20" t="n">
        <x:v>7</x:v>
      </x:c>
      <x:c r="B10" s="20" t="str">
        <x:v>VR1</x:v>
      </x:c>
      <x:c r="C10" s="20" t="str">
        <x:v>Regulador ajustable LM1117IMPX-ADJ</x:v>
      </x:c>
      <x:c r="D10" s="20" t="str">
        <x:v>Mouser</x:v>
      </x:c>
      <x:c r="E10" s="20" t="str">
        <x:v>USD</x:v>
      </x:c>
      <x:c r="F10" s="20" t="str">
        <x:v>https://www.mouser.com/ProductDetail/Texas-Instruments/LM1117IMPX-ADJ-NOPB?qs=X1J7HmVL2ZH7x9eSBiUHaQ%3D%3D</x:v>
      </x:c>
      <x:c r="G10" s="20" t="str">
        <x:v>Referencia tomada del control de compras del proyecto.</x:v>
      </x:c>
    </x:row>
    <x:row r="11">
      <x:c r="A11" s="20" t="n">
        <x:v>8</x:v>
      </x:c>
      <x:c r="B11" s="20" t="str">
        <x:v>Q1</x:v>
      </x:c>
      <x:c r="C11" s="20" t="str">
        <x:v>Cristal de cuarzo 8.000 MHz HC-49SM SMD, 20 pF, 20 ppm</x:v>
      </x:c>
      <x:c r="D11" s="20" t="str">
        <x:v>INTESC</x:v>
      </x:c>
      <x:c r="E11" s="20" t="str">
        <x:v>MXN</x:v>
      </x:c>
      <x:c r="F11" s="20" t="str">
        <x:v>https://intesc.mx/productos/oscilador-de-8mhz-smd/</x:v>
      </x:c>
      <x:c r="G11" s="20" t="str">
        <x:v>Referencia tomada del control de compras del proyecto.</x:v>
      </x:c>
    </x:row>
    <x:row r="12">
      <x:c r="A12" s="20" t="n">
        <x:v>9</x:v>
      </x:c>
      <x:c r="B12" s="20" t="str">
        <x:v>LED1</x:v>
      </x:c>
      <x:c r="C12" s="20" t="str">
        <x:v>LED verde SMD 0603</x:v>
      </x:c>
      <x:c r="D12" s="20" t="str">
        <x:v>Aelectronics</x:v>
      </x:c>
      <x:c r="E12" s="20" t="str">
        <x:v>MXN</x:v>
      </x:c>
      <x:c r="F12" s="20" t="str">
        <x:v>https://aelectronics.com.mx/home/2580-led-smd-0603-verde.html</x:v>
      </x:c>
      <x:c r="G12" s="20" t="str">
        <x:v>Referencia tomada del control de compras del proyecto.</x:v>
      </x:c>
    </x:row>
    <x:row r="13">
      <x:c r="A13" s="20" t="n">
        <x:v>10</x:v>
      </x:c>
      <x:c r="B13" s="20" t="str">
        <x:v>LED2</x:v>
      </x:c>
      <x:c r="C13" s="20" t="str">
        <x:v>LED rojo SMD 0603</x:v>
      </x:c>
      <x:c r="D13" s="20" t="str">
        <x:v>Uelectronics</x:v>
      </x:c>
      <x:c r="E13" s="20" t="str">
        <x:v>MXN</x:v>
      </x:c>
      <x:c r="F13" s="20" t="str">
        <x:v>https://uelectronics.com/producto/ncd0603r1-led-rojo-smd-0603/</x:v>
      </x:c>
      <x:c r="G13" s="20" t="str">
        <x:v>Referencia tomada del control de compras del proyecto.</x:v>
      </x:c>
    </x:row>
    <x:row r="14">
      <x:c r="A14" s="20" t="n">
        <x:v>11</x:v>
      </x:c>
      <x:c r="B14" s="20" t="str">
        <x:v>BUT, RST</x:v>
      </x:c>
      <x:c r="C14" s="20" t="str">
        <x:v>Botón pulsador táctil SMD T1107A 6 x 3.8 x 2.5 mm</x:v>
      </x:c>
      <x:c r="D14" s="20" t="str">
        <x:v>SIEEG</x:v>
      </x:c>
      <x:c r="E14" s="20" t="str">
        <x:v>MXN</x:v>
      </x:c>
      <x:c r="F14" s="20" t="str">
        <x:v>https://sieeg.com.mx/producto/switch-interruptor-smd-3x6x3-8mm/</x:v>
      </x:c>
      <x:c r="G14" s="20" t="str">
        <x:v>Referencia tomada del control de compras del proyecto.</x:v>
      </x:c>
    </x:row>
    <x:row r="15">
      <x:c r="A15" s="20" t="n">
        <x:v>12</x:v>
      </x:c>
      <x:c r="B15" s="20" t="str">
        <x:v>UEXT</x:v>
      </x:c>
      <x:c r="C15" s="20" t="str">
        <x:v>Conector UEXT BH10R, 10 pines</x:v>
      </x:c>
      <x:c r="D15" s="20" t="str">
        <x:v>Idea Electrónica</x:v>
      </x:c>
      <x:c r="E15" s="20" t="str">
        <x:v>MXN</x:v>
      </x:c>
      <x:c r="F15" s="20" t="str">
        <x:v>https://www.ideaelectronica.mx/conectores-de-energia/3895-fcn-2x5-conector-macho-10-pin-para-cable-plano.html</x:v>
      </x:c>
      <x:c r="G15" s="20" t="str">
        <x:v>Referencia tomada del control de compras del proyecto.</x:v>
      </x:c>
    </x:row>
    <x:row r="16">
      <x:c r="A16" s="20" t="n">
        <x:v>13</x:v>
      </x:c>
      <x:c r="B16" s="20" t="str">
        <x:v>ICSP</x:v>
      </x:c>
      <x:c r="C16" s="20" t="str">
        <x:v>Header ICSP WF6S, 6 pines</x:v>
      </x:c>
      <x:c r="D16" s="20" t="str">
        <x:v>INTESC</x:v>
      </x:c>
      <x:c r="E16" s="20" t="str">
        <x:v>MXN</x:v>
      </x:c>
      <x:c r="F16" s="20" t="str">
        <x:v>https://intesc.mx/productos/tira-de-40-pines-macho-de-2-54mm/</x:v>
      </x:c>
      <x:c r="G16" s="20" t="str">
        <x:v>Referencia tomada del control de compras del proyecto.</x:v>
      </x:c>
    </x:row>
    <x:row r="17">
      <x:c r="A17" s="20" t="n">
        <x:v>14</x:v>
      </x:c>
      <x:c r="B17" s="20" t="str">
        <x:v>CON1, CON2, CON4, CON5</x:v>
      </x:c>
      <x:c r="C17" s="20" t="str">
        <x:v>Juego de headers Arduino: 2 x PN1x8 + 2 x PN1x6</x:v>
      </x:c>
      <x:c r="D17" s="20" t="str">
        <x:v>Rantec</x:v>
      </x:c>
      <x:c r="E17" s="20" t="str">
        <x:v>MXN</x:v>
      </x:c>
      <x:c r="F17" s="20" t="str">
        <x:v>https://rantec.mx/tienda/tiras-de-header-hembra-de-40-dupont-2-54mm/</x:v>
      </x:c>
      <x:c r="G17" s="20" t="str">
        <x:v>Referencia tomada del control de compras del proyecto.</x:v>
      </x:c>
    </x:row>
    <x:row r="18">
      <x:c r="A18" s="20" t="n">
        <x:v>15</x:v>
      </x:c>
      <x:c r="B18" s="20" t="str">
        <x:v>R1</x:v>
      </x:c>
      <x:c r="C18" s="20" t="str">
        <x:v>Resistencia SMD 240 Ω, 1%</x:v>
      </x:c>
      <x:c r="D18" s="20" t="str">
        <x:v>INTESC</x:v>
      </x:c>
      <x:c r="E18" s="20" t="str">
        <x:v>MXN</x:v>
      </x:c>
      <x:c r="F18" s="20" t="str">
        <x:v>https://intesc.mx/productos/resistencia-de-240-ohm-1-0603/</x:v>
      </x:c>
      <x:c r="G18" s="20" t="str">
        <x:v>Referencia tomada del control de compras del proyecto.</x:v>
      </x:c>
    </x:row>
    <x:row r="19">
      <x:c r="A19" s="20" t="n">
        <x:v>16</x:v>
      </x:c>
      <x:c r="B19" s="20" t="str">
        <x:v>R2</x:v>
      </x:c>
      <x:c r="C19" s="20" t="str">
        <x:v>Resistencia SMD 390 Ω, 1%</x:v>
      </x:c>
      <x:c r="D19" s="20" t="str">
        <x:v>INTESC</x:v>
      </x:c>
      <x:c r="E19" s="20" t="str">
        <x:v>MXN</x:v>
      </x:c>
      <x:c r="F19" s="20" t="str">
        <x:v>https://intesc.mx/productos/resistencia-de-390-ohm-1-0603/</x:v>
      </x:c>
      <x:c r="G19" s="20" t="str">
        <x:v>Referencia tomada del control de compras del proyecto.</x:v>
      </x:c>
    </x:row>
    <x:row r="20">
      <x:c r="A20" s="20" t="n">
        <x:v>17</x:v>
      </x:c>
      <x:c r="B20" s="20" t="str">
        <x:v>R3, R4</x:v>
      </x:c>
      <x:c r="C20" s="20" t="str">
        <x:v>Resistencia SMD 2 kΩ</x:v>
      </x:c>
      <x:c r="D20" s="20" t="str">
        <x:v>INTESC</x:v>
      </x:c>
      <x:c r="E20" s="20" t="str">
        <x:v>MXN</x:v>
      </x:c>
      <x:c r="F20" s="20" t="str">
        <x:v>https://intesc.mx/productos/resistencia-de-2k-ohm-1-0603/</x:v>
      </x:c>
      <x:c r="G20" s="20" t="str">
        <x:v>Referencia tomada del control de compras del proyecto.</x:v>
      </x:c>
    </x:row>
    <x:row r="21">
      <x:c r="A21" s="20" t="n">
        <x:v>18</x:v>
      </x:c>
      <x:c r="B21" s="20" t="str">
        <x:v>R5, R6, R8, R9</x:v>
      </x:c>
      <x:c r="C21" s="20" t="str">
        <x:v>Resistencia SMD 4.7 kΩ</x:v>
      </x:c>
      <x:c r="D21" s="20" t="str">
        <x:v>INTESC</x:v>
      </x:c>
      <x:c r="E21" s="20" t="str">
        <x:v>MXN</x:v>
      </x:c>
      <x:c r="F21" s="20" t="str">
        <x:v>https://intesc.mx/productos/resistencia-de-4-7k-ohm-1-0603/</x:v>
      </x:c>
      <x:c r="G21" s="20" t="str">
        <x:v>Referencia tomada del control de compras del proyecto.</x:v>
      </x:c>
    </x:row>
    <x:row r="22">
      <x:c r="A22" s="20" t="n">
        <x:v>19</x:v>
      </x:c>
      <x:c r="B22" s="20" t="str">
        <x:v>R opcionales</x:v>
      </x:c>
      <x:c r="C22" s="20" t="str">
        <x:v>Resistencia SMD 4.7 kΩ, opcional/NA</x:v>
      </x:c>
      <x:c r="D22" s="20" t="str">
        <x:v>INTESC</x:v>
      </x:c>
      <x:c r="E22" s="20" t="str">
        <x:v>MXN</x:v>
      </x:c>
      <x:c r="F22" s="20" t="str">
        <x:v>https://intesc.mx/productos/resistencia-de-4-7k-ohm-1-0603/</x:v>
      </x:c>
      <x:c r="G22" s="20" t="str">
        <x:v>Referencia tomada del control de compras del proyecto.</x:v>
      </x:c>
    </x:row>
    <x:row r="23">
      <x:c r="A23" s="20" t="n">
        <x:v>20</x:v>
      </x:c>
      <x:c r="B23" s="20" t="str">
        <x:v>R7</x:v>
      </x:c>
      <x:c r="C23" s="20" t="str">
        <x:v>Resistencia SMD 33 kΩ</x:v>
      </x:c>
      <x:c r="D23" s="20" t="str">
        <x:v>INTESC</x:v>
      </x:c>
      <x:c r="E23" s="20" t="str">
        <x:v>MXN</x:v>
      </x:c>
      <x:c r="F23" s="20" t="str">
        <x:v>https://intesc.mx/productos/resistencia-de-33k-ohm-1-0603/</x:v>
      </x:c>
      <x:c r="G23" s="20" t="str">
        <x:v>Referencia tomada del control de compras del proyecto.</x:v>
      </x:c>
    </x:row>
    <x:row r="24">
      <x:c r="A24" s="20" t="n">
        <x:v>21</x:v>
      </x:c>
      <x:c r="B24" s="20" t="str">
        <x:v>Jumper</x:v>
      </x:c>
      <x:c r="C24" s="20" t="str">
        <x:v>Resistencia SMD 0 Ω / jumper, Board Mounted</x:v>
      </x:c>
      <x:c r="D24" s="20" t="str">
        <x:v>INTESC</x:v>
      </x:c>
      <x:c r="E24" s="20" t="str">
        <x:v>MXN</x:v>
      </x:c>
      <x:c r="F24" s="20" t="str">
        <x:v>https://intesc.mx/productos/resistencia-de-4-7k-ohm-1-0603/</x:v>
      </x:c>
      <x:c r="G24" s="20" t="str">
        <x:v>Referencia tomada del control de compras del proyecto.</x:v>
      </x:c>
    </x:row>
    <x:row r="25">
      <x:c r="A25" s="20" t="n">
        <x:v>22</x:v>
      </x:c>
      <x:c r="B25" s="20" t="str">
        <x:v>C varios</x:v>
      </x:c>
      <x:c r="C25" s="20" t="str">
        <x:v>Capacitor cerámico SMD 100 nF</x:v>
      </x:c>
      <x:c r="D25" s="20" t="str">
        <x:v>Aelectronics</x:v>
      </x:c>
      <x:c r="E25" s="20" t="str">
        <x:v>MXN</x:v>
      </x:c>
      <x:c r="F25" s="20" t="str">
        <x:v>https://aelectronics.com.mx/home/2136-capacitor-ceramico-smd-0603-100nf.html</x:v>
      </x:c>
      <x:c r="G25" s="20" t="str">
        <x:v>Referencia tomada del control de compras del proyecto.</x:v>
      </x:c>
    </x:row>
    <x:row r="26">
      <x:c r="A26" s="20" t="n">
        <x:v>23</x:v>
      </x:c>
      <x:c r="B26" s="20" t="str">
        <x:v>C varios</x:v>
      </x:c>
      <x:c r="C26" s="20" t="str">
        <x:v>Capacitor SMD 10 µF / 10 V</x:v>
      </x:c>
      <x:c r="D26" s="20" t="str">
        <x:v>Aelectronics</x:v>
      </x:c>
      <x:c r="E26" s="20" t="str">
        <x:v>MXN</x:v>
      </x:c>
      <x:c r="F26" s="20" t="str">
        <x:v>https://aelectronics.com.mx/home/2194-capacitor-ceramico-smd-0603-10uf-10v.html</x:v>
      </x:c>
      <x:c r="G26" s="20" t="str">
        <x:v>Referencia tomada del control de compras del proyecto.</x:v>
      </x:c>
    </x:row>
    <x:row r="27">
      <x:c r="A27" s="20" t="n">
        <x:v>24</x:v>
      </x:c>
      <x:c r="B27" s="20" t="str">
        <x:v>C cristal</x:v>
      </x:c>
      <x:c r="C27" s="20" t="str">
        <x:v>Capacitor cerámico SMD 20 pF</x:v>
      </x:c>
      <x:c r="D27" s="20" t="str">
        <x:v>Uelectronics</x:v>
      </x:c>
      <x:c r="E27" s="20" t="str">
        <x:v>MXN</x:v>
      </x:c>
      <x:c r="F27" s="20" t="str">
        <x:v>https://uelectronics.com/producto/capacitor-0603-20pf-50v-cl10c200jb8nnnc/</x:v>
      </x:c>
      <x:c r="G27" s="20" t="str">
        <x:v>Referencia tomada del control de compras del proyecto.</x:v>
      </x:c>
    </x:row>
    <x:row r="28">
      <x:c r="A28" s="20" t="n">
        <x:v>25</x:v>
      </x:c>
      <x:c r="B28" s="20" t="str">
        <x:v>C filtro</x:v>
      </x:c>
      <x:c r="C28" s="20" t="str">
        <x:v>Capacitor cerámico SMD 10 nF</x:v>
      </x:c>
      <x:c r="D28" s="20" t="str">
        <x:v>Aelectronics</x:v>
      </x:c>
      <x:c r="E28" s="20" t="str">
        <x:v>MXN</x:v>
      </x:c>
      <x:c r="F28" s="20" t="str">
        <x:v>https://aelectronics.com.mx/home/2166-capacitor-ceramico-smd-0603-10nf-50v.html</x:v>
      </x:c>
      <x:c r="G28" s="20" t="str">
        <x:v>Referencia tomada del control de compras del proyecto.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d438723dc2d4cb4"/>
  </x:tableParts>
</x:worksheet>
</file>