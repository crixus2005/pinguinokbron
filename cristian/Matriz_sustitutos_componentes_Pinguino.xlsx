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0c36a65a4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6c8d91c0d0149be"/>
    <x:sheet xmlns:r="http://schemas.openxmlformats.org/officeDocument/2006/relationships" name="Matriz_Sustitutos" sheetId="2" r:id="Raab7aaa29f654668"/>
    <x:sheet xmlns:r="http://schemas.openxmlformats.org/officeDocument/2006/relationships" name="Criterios" sheetId="3" r:id="R7d253a6f90e64240"/>
    <x:sheet xmlns:r="http://schemas.openxmlformats.org/officeDocument/2006/relationships" name="Fuentes" sheetId="4" r:id="Rfdb08aea3e094b0e"/>
    <x:sheet xmlns:r="http://schemas.openxmlformats.org/officeDocument/2006/relationships" name="Historial" sheetId="5" r:id="Rcb294005a13740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30549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d8e1cb66246ae" /><Relationship Type="http://schemas.openxmlformats.org/officeDocument/2006/relationships/theme" Target="/xl/theme/theme1.xml" Id="Ra2a2ea4beb704238" /><Relationship Type="http://schemas.openxmlformats.org/officeDocument/2006/relationships/sharedStrings" Target="/xl/sharedStrings.xml" Id="R895ba5b4e8ce4a6c" /><Relationship Type="http://schemas.openxmlformats.org/officeDocument/2006/relationships/worksheet" Target="/xl/worksheets/sheet1.xml" Id="Rd6c8d91c0d0149be" /><Relationship Type="http://schemas.openxmlformats.org/officeDocument/2006/relationships/worksheet" Target="/xl/worksheets/sheet2.xml" Id="Raab7aaa29f654668" /><Relationship Type="http://schemas.openxmlformats.org/officeDocument/2006/relationships/worksheet" Target="/xl/worksheets/sheet3.xml" Id="R7d253a6f90e64240" /><Relationship Type="http://schemas.openxmlformats.org/officeDocument/2006/relationships/worksheet" Target="/xl/worksheets/sheet4.xml" Id="Rfdb08aea3e094b0e" /><Relationship Type="http://schemas.openxmlformats.org/officeDocument/2006/relationships/worksheet" Target="/xl/worksheets/sheet5.xml" Id="Rcb294005a1374011" /></Relationships>
</file>

<file path=xl/tables/table1.xml><?xml version="1.0" encoding="utf-8"?>
<x:table xmlns:x="http://schemas.openxmlformats.org/spreadsheetml/2006/main" id="1" name="TablaSustitutos" displayName="TablaSustitutos" ref="A4:W29" headerRowCount="1">
  <x:tableColumns count="23">
    <x:tableColumn id="1" name="No."/>
    <x:tableColumn id="2" name="Componente original"/>
    <x:tableColumn id="3" name="Ref."/>
    <x:tableColumn id="4" name="Cantidad"/>
    <x:tableColumn id="5" name="Función en la tarjeta"/>
    <x:tableColumn id="6" name="Encapsulado original"/>
    <x:tableColumn id="7" name="Criticidad"/>
    <x:tableColumn id="8" name="Precio BOM"/>
    <x:tableColumn id="9" name="Proveedor BOM"/>
    <x:tableColumn id="10" name="Enlace BOM"/>
    <x:tableColumn id="11" name="Sustituto 1"/>
    <x:tableColumn id="12" name="Encapsulado sustituto 1"/>
    <x:tableColumn id="13" name="Marca/proveedor sugerido 1"/>
    <x:tableColumn id="14" name="Justificación sustituto 1"/>
    <x:tableColumn id="15" name="Compatibilidad"/>
    <x:tableColumn id="16" name="Prioridad de validación"/>
    <x:tableColumn id="17" name="Sustituto 2"/>
    <x:tableColumn id="18" name="Encapsulado sustituto 2"/>
    <x:tableColumn id="19" name="Marca/proveedor sugerido 2"/>
    <x:tableColumn id="20" name="Observaciones sustituto 2"/>
    <x:tableColumn id="21" name="Estatus sustituto 2"/>
    <x:tableColumn id="22" name="Enlace de búsqueda/compra"/>
    <x:tableColumn id="23" name="Notas de revisión"/>
  </x:tableColumns>
  <x:tableStyleInfo name="TableStyleMedium2" showRowStripes="1"/>
</x:table>
</file>

<file path=xl/tables/table2.xml><?xml version="1.0" encoding="utf-8"?>
<x:table xmlns:x="http://schemas.openxmlformats.org/spreadsheetml/2006/main" id="2" name="TablaCriterios" displayName="TablaCriterios" ref="A3:F10" headerRowCount="1">
  <x:tableColumns count="6">
    <x:tableColumn id="1" name="Criterio"/>
    <x:tableColumn id="2" name="Aplicación"/>
    <x:tableColumn id="3" name="Qué revisar"/>
    <x:tableColumn id="4" name="Riesgo si no se revisa"/>
    <x:tableColumn id="5" name="Estatus recomendado"/>
    <x:tableColumn id="6" name="Comentario"/>
  </x:tableColumns>
  <x:tableStyleInfo name="TableStyleMedium2" showRowStripes="1"/>
</x:table>
</file>

<file path=xl/tables/table3.xml><?xml version="1.0" encoding="utf-8"?>
<x:table xmlns:x="http://schemas.openxmlformats.org/spreadsheetml/2006/main" id="3" name="TablaFuentes" displayName="TablaFuentes" ref="A3:F32" headerRowCount="1">
  <x:tableColumns count="6">
    <x:tableColumn id="1" name="No."/>
    <x:tableColumn id="2" name="Tipo"/>
    <x:tableColumn id="3" name="Descripción"/>
    <x:tableColumn id="4" name="Proveedor / fuente"/>
    <x:tableColumn id="5" name="URL"/>
    <x:tableColumn id="6" name="Nota"/>
  </x:tableColumns>
  <x:tableStyleInfo name="TableStyleMedium2" showRowStripes="1"/>
</x:table>
</file>

<file path=xl/tables/table4.xml><?xml version="1.0" encoding="utf-8"?>
<x:table xmlns:x="http://schemas.openxmlformats.org/spreadsheetml/2006/main" id="4" name="TablaHistorial" displayName="TablaHistorial" ref="A3:F4" headerRowCount="1">
  <x:tableColumns count="6">
    <x:tableColumn id="1" name="Fecha"/>
    <x:tableColumn id="2" name="Versión"/>
    <x:tableColumn id="3" name="Cambio"/>
    <x:tableColumn id="4" name="Responsable"/>
    <x:tableColumn id="5" name="Archivo base"/>
    <x:tableColumn id="6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e29a5be68441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4a20d6324c47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d2f391ce3a46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b561fbd97b413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4" max="4" width="28" hidden="0" customWidth="1"/>
    <x:col min="5" max="5" width="16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5" t="str">
        <x:v>Matriz de sustitutos de componentes</x:v>
      </x:c>
    </x:row>
    <x:row r="3">
      <x:c r="A3" s="13" t="str">
        <x:v>Proyecto: tarjeta PIC32-PINGUINO-MX220 Rev A</x:v>
      </x:c>
    </x:row>
    <x:row r="5">
      <x:c r="A5" s="22" t="str">
        <x:v>Campo</x:v>
      </x:c>
      <x:c r="B5" s="22" t="str">
        <x:v>Dato</x:v>
      </x:c>
      <x:c r="D5" s="22" t="str">
        <x:v>Indicador</x:v>
      </x:c>
      <x:c r="E5" s="22" t="str">
        <x:v>Valor</x:v>
      </x:c>
      <x:c r="F5" s="22" t="str">
        <x:v>Comentario</x:v>
      </x:c>
      <x:c r="G5" s="22" t="str"/>
      <x:c r="H5" s="22" t="str"/>
    </x:row>
    <x:row r="6">
      <x:c r="A6" s="28" t="str">
        <x:v>Tarea</x:v>
      </x:c>
      <x:c r="B6" s="28" t="str">
        <x:v>#28 Matriz de sustitutos de componentes</x:v>
      </x:c>
      <x:c r="D6" s="28" t="str">
        <x:v>Compatibles con revisión</x:v>
      </x:c>
      <x:c r="E6" s="28" t="n">
        <x:f>COUNTIF(Matriz_Sustitutos!O5:O29,"Compatible con revisión")</x:f>
        <x:v>6</x:v>
      </x:c>
      <x:c r="F6" s="28" t="str">
        <x:v>Validar datasheet, huella y disponibilidad antes de comprar.</x:v>
      </x:c>
      <x:c r="G6" s="28" t="str"/>
      <x:c r="H6" s="28" t="str"/>
    </x:row>
    <x:row r="7">
      <x:c r="A7" s="28" t="str">
        <x:v>Rama</x:v>
      </x:c>
      <x:c r="B7" s="28" t="str">
        <x:v>costos / organización</x:v>
      </x:c>
      <x:c r="D7" s="28" t="str">
        <x:v>Prioridad alta</x:v>
      </x:c>
      <x:c r="E7" s="28" t="n">
        <x:f>COUNTIF(Matriz_Sustitutos!P5:P29,"Alta")</x:f>
        <x:v>9</x:v>
      </x:c>
      <x:c r="F7" s="28" t="str">
        <x:v>Conviene revisar primero antes de liberar compras.</x:v>
      </x:c>
      <x:c r="G7" s="28" t="str"/>
      <x:c r="H7" s="28" t="str"/>
    </x:row>
    <x:row r="8">
      <x:c r="A8" s="28" t="str">
        <x:v>Base de trabajo</x:v>
      </x:c>
      <x:c r="B8" s="28" t="str">
        <x:v>Tabla de materiales PIC32-PINGUINO-MX220 Rev A</x:v>
      </x:c>
      <x:c r="D8" s="28" t="str">
        <x:v>Prioridad media</x:v>
      </x:c>
      <x:c r="E8" s="28" t="n">
        <x:f>COUNTIF(Matriz_Sustitutos!P5:P29,"Media")</x:f>
        <x:v>6</x:v>
      </x:c>
      <x:c r="F8" s="28" t="str">
        <x:v>Requiere confirmación, pero no bloquea de inmediato.</x:v>
      </x:c>
      <x:c r="G8" s="28" t="str"/>
      <x:c r="H8" s="28" t="str"/>
    </x:row>
    <x:row r="9">
      <x:c r="A9" s="28" t="str">
        <x:v>Total de componentes revisados</x:v>
      </x:c>
      <x:c r="B9" s="28" t="n">
        <x:f>COUNTA(Matriz_Sustitutos!B5:B29)</x:f>
        <x:v>25</x:v>
      </x:c>
      <x:c r="D9" s="28" t="str">
        <x:v>Prioridad baja</x:v>
      </x:c>
      <x:c r="E9" s="28" t="n">
        <x:f>COUNTIF(Matriz_Sustitutos!P5:P29,"Baja")</x:f>
        <x:v>10</x:v>
      </x:c>
      <x:c r="F9" s="28" t="str">
        <x:v>Pasivos y elementos de fácil sustitución.</x:v>
      </x:c>
      <x:c r="G9" s="28" t="str"/>
      <x:c r="H9" s="28" t="str"/>
    </x:row>
    <x:row r="10">
      <x:c r="A10" s="28" t="str">
        <x:v>Componentes críticos</x:v>
      </x:c>
      <x:c r="B10" s="28" t="n">
        <x:f>COUNTIF(Matriz_Sustitutos!G5:G29,"Crítico")</x:f>
        <x:v>9</x:v>
      </x:c>
      <x:c r="D10" s="28" t="str">
        <x:v>Componentes con enlace</x:v>
      </x:c>
      <x:c r="E10" s="28" t="n">
        <x:f>COUNTA(Matriz_Sustitutos!V5:V29)</x:f>
        <x:v>25</x:v>
      </x:c>
      <x:c r="F10" s="28" t="str">
        <x:v>Todos deben conservar evidencia de consulta.</x:v>
      </x:c>
      <x:c r="G10" s="28" t="str"/>
      <x:c r="H10" s="28" t="str"/>
    </x:row>
    <x:row r="11">
      <x:c r="A11" s="28" t="str">
        <x:v>Sustitutos directos</x:v>
      </x:c>
      <x:c r="B11" s="28" t="n">
        <x:f>COUNTIF(Matriz_Sustitutos!O5:O29,"Compatible directo")</x:f>
        <x:v>19</x:v>
      </x:c>
      <x:c r="D11" s="28" t="str">
        <x:v>Fecha de elaboración</x:v>
      </x:c>
      <x:c r="E11" s="28" t="str">
        <x:v>2026-06-20</x:v>
      </x:c>
      <x:c r="F11" s="28" t="str">
        <x:v>Actualizar precios antes de compra real.</x:v>
      </x:c>
      <x:c r="G11" s="28" t="str"/>
      <x:c r="H11" s="28" t="str"/>
    </x:row>
    <x:row r="12">
      <x:c r="D12" s="28" t="str">
        <x:v>Responsable</x:v>
      </x:c>
      <x:c r="E12" s="28" t="str">
        <x:v>Rama costos/organización</x:v>
      </x:c>
      <x:c r="F12" s="28" t="str">
        <x:v>Archivo de apoyo administrativo.</x:v>
      </x:c>
      <x:c r="G12" s="28" t="str"/>
      <x:c r="H12" s="28" t="str"/>
    </x:row>
    <x:row r="14">
      <x:c r="A14" s="13" t="str">
        <x:v>Resumen práctico</x:v>
      </x:c>
    </x:row>
    <x:row r="15">
      <x:c r="A15" s="28" t="str">
        <x:v>La matriz concentra el componente original del BOM, su función, criticidad y dos alternativas de sustitución. La columna de compatibilidad permite distinguir piezas que pueden comprarse de forma directa de aquellas que requieren validar huella, pinout, encapsulado, polaridad, valor eléctrico o bootloader. Para compra real, se recomienda revisar disponibilidad y precio el mismo día de la adquisición.</x:v>
      </x:c>
      <x:c r="B15" s="28"/>
      <x:c r="C15" s="28"/>
      <x:c r="D15" s="28"/>
      <x:c r="E15" s="28"/>
      <x:c r="F15" s="28"/>
      <x:c r="G15" s="28"/>
      <x:c r="H15" s="28"/>
    </x:row>
    <x:row r="16">
      <x:c r="A16" s="28"/>
      <x:c r="B16" s="28"/>
      <x:c r="C16" s="28"/>
      <x:c r="D16" s="28"/>
      <x:c r="E16" s="28"/>
      <x:c r="F16" s="28"/>
      <x:c r="G16" s="28"/>
      <x:c r="H16" s="28"/>
    </x:row>
    <x:row r="17">
      <x:c r="A17" s="28"/>
      <x:c r="B17" s="28"/>
      <x:c r="C17" s="28"/>
      <x:c r="D17" s="28"/>
      <x:c r="E17" s="28"/>
      <x:c r="F17" s="28"/>
      <x:c r="G17" s="28"/>
      <x:c r="H17" s="28"/>
    </x:row>
    <x:row r="18">
      <x:c r="A18" s="28"/>
      <x:c r="B18" s="28"/>
      <x:c r="C18" s="28"/>
      <x:c r="D18" s="28"/>
      <x:c r="E18" s="28"/>
      <x:c r="F18" s="28"/>
      <x:c r="G18" s="28"/>
      <x:c r="H18" s="28"/>
    </x:row>
    <x:row r="19">
      <x:c r="A19" s="28"/>
      <x:c r="B19" s="28"/>
      <x:c r="C19" s="28"/>
      <x:c r="D19" s="28"/>
      <x:c r="E19" s="28"/>
      <x:c r="F19" s="28"/>
      <x:c r="G19" s="28"/>
      <x:c r="H19" s="28"/>
    </x:row>
    <x:row r="20">
      <x:c r="A20" s="28"/>
      <x:c r="B20" s="28"/>
      <x:c r="C20" s="28"/>
      <x:c r="D20" s="28"/>
      <x:c r="E20" s="28"/>
      <x:c r="F20" s="28"/>
      <x:c r="G20" s="28"/>
      <x:c r="H20" s="28"/>
    </x:row>
  </x:sheetData>
  <x:mergeCells>
    <x:mergeCell ref="A1:H1"/>
    <x:mergeCell ref="A3:H3"/>
    <x:mergeCell ref="A14:H14"/>
    <x:mergeCell ref="A15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12" hidden="0" customWidth="1"/>
    <x:col min="4" max="4" width="10" hidden="0" customWidth="1"/>
    <x:col min="5" max="5" width="28" hidden="0" customWidth="1"/>
    <x:col min="6" max="6" width="18" hidden="0" customWidth="1"/>
    <x:col min="7" max="7" width="14" hidden="0" customWidth="1"/>
    <x:col min="8" max="8" width="16" hidden="0" customWidth="1"/>
    <x:col min="9" max="9" width="18" hidden="0" customWidth="1"/>
    <x:col min="10" max="10" width="36" hidden="0" customWidth="1"/>
    <x:col min="11" max="11" width="30" hidden="0" customWidth="1"/>
    <x:col min="12" max="12" width="18" hidden="0" customWidth="1"/>
    <x:col min="13" max="13" width="24" hidden="0" customWidth="1"/>
    <x:col min="14" max="14" width="42" hidden="0" customWidth="1"/>
    <x:col min="15" max="15" width="24" hidden="0" customWidth="1"/>
    <x:col min="16" max="16" width="18" hidden="0" customWidth="1"/>
    <x:col min="17" max="17" width="28" hidden="0" customWidth="1"/>
    <x:col min="18" max="18" width="18" hidden="0" customWidth="1"/>
    <x:col min="19" max="19" width="24" hidden="0" customWidth="1"/>
    <x:col min="20" max="20" width="42" hidden="0" customWidth="1"/>
    <x:col min="21" max="21" width="24" hidden="0" customWidth="1"/>
    <x:col min="22" max="22" width="36" hidden="0" customWidth="1"/>
    <x:col min="23" max="23" width="42" hidden="0" customWidth="1"/>
  </x:cols>
  <x:sheetData>
    <x:row r="1" ht="26" customHeight="1">
      <x:c r="A1" s="5" t="str">
        <x:v>Matriz de sustitutos de componentes — PIC32-PINGUINO-MX220 Rev A</x:v>
      </x:c>
    </x:row>
    <x:row r="2" ht="22" customHeight="1">
      <x:c r="A2" s="13" t="str">
        <x:v>Tarea #28 · Rama costos/organización · Basada en la tabla de materiales proporcionada</x:v>
      </x:c>
    </x:row>
    <x:row r="4" ht="50" customHeight="1">
      <x:c r="A4" s="22" t="str">
        <x:v>No.</x:v>
      </x:c>
      <x:c r="B4" s="22" t="str">
        <x:v>Componente original</x:v>
      </x:c>
      <x:c r="C4" s="22" t="str">
        <x:v>Ref.</x:v>
      </x:c>
      <x:c r="D4" s="22" t="str">
        <x:v>Cantidad</x:v>
      </x:c>
      <x:c r="E4" s="22" t="str">
        <x:v>Función en la tarjeta</x:v>
      </x:c>
      <x:c r="F4" s="22" t="str">
        <x:v>Encapsulado original</x:v>
      </x:c>
      <x:c r="G4" s="22" t="str">
        <x:v>Criticidad</x:v>
      </x:c>
      <x:c r="H4" s="22" t="str">
        <x:v>Precio BOM</x:v>
      </x:c>
      <x:c r="I4" s="22" t="str">
        <x:v>Proveedor BOM</x:v>
      </x:c>
      <x:c r="J4" s="22" t="str">
        <x:v>Enlace BOM</x:v>
      </x:c>
      <x:c r="K4" s="22" t="str">
        <x:v>Sustituto 1</x:v>
      </x:c>
      <x:c r="L4" s="22" t="str">
        <x:v>Encapsulado sustituto 1</x:v>
      </x:c>
      <x:c r="M4" s="22" t="str">
        <x:v>Marca/proveedor sugerido 1</x:v>
      </x:c>
      <x:c r="N4" s="22" t="str">
        <x:v>Justificación sustituto 1</x:v>
      </x:c>
      <x:c r="O4" s="22" t="str">
        <x:v>Compatibilidad</x:v>
      </x:c>
      <x:c r="P4" s="22" t="str">
        <x:v>Prioridad de validación</x:v>
      </x:c>
      <x:c r="Q4" s="22" t="str">
        <x:v>Sustituto 2</x:v>
      </x:c>
      <x:c r="R4" s="22" t="str">
        <x:v>Encapsulado sustituto 2</x:v>
      </x:c>
      <x:c r="S4" s="22" t="str">
        <x:v>Marca/proveedor sugerido 2</x:v>
      </x:c>
      <x:c r="T4" s="22" t="str">
        <x:v>Observaciones sustituto 2</x:v>
      </x:c>
      <x:c r="U4" s="22" t="str">
        <x:v>Estatus sustituto 2</x:v>
      </x:c>
      <x:c r="V4" s="22" t="str">
        <x:v>Enlace de búsqueda/compra</x:v>
      </x:c>
      <x:c r="W4" s="22" t="str">
        <x:v>Notas de revisión</x:v>
      </x:c>
    </x:row>
    <x:row r="5" ht="50" customHeight="1">
      <x:c r="A5" s="28" t="n">
        <x:v>1</x:v>
      </x:c>
      <x:c r="B5" s="28" t="str">
        <x:v>PIC32MX220F032D-I/PT</x:v>
      </x:c>
      <x:c r="C5" s="28" t="str">
        <x:v>U1</x:v>
      </x:c>
      <x:c r="D5" s="28" t="n">
        <x:v>1</x:v>
      </x:c>
      <x:c r="E5" s="28" t="str">
        <x:v>Microcontrolador principal</x:v>
      </x:c>
      <x:c r="F5" s="28" t="str">
        <x:v>TQFP-44 / PT</x:v>
      </x:c>
      <x:c r="G5" s="28" t="str">
        <x:v>Crítico</x:v>
      </x:c>
      <x:c r="H5" s="28" t="str">
        <x:v>USD $4.68</x:v>
      </x:c>
      <x:c r="I5" s="28" t="str">
        <x:v>Mouser</x:v>
      </x:c>
      <x:c r="J5" s="28" t="str">
        <x:v>https://www.mouser.mx/ProductDetail/Microchip-Technology/PIC32MX220F032D-I-PT?qs=YqCKdUdj4g1WcFz57CpzjQ%3D%3D</x:v>
      </x:c>
      <x:c r="K5" s="28" t="str">
        <x:v>PIC32MX250F128D-I/PT</x:v>
      </x:c>
      <x:c r="L5" s="28" t="str">
        <x:v>TQFP-44 / PT</x:v>
      </x:c>
      <x:c r="M5" s="28" t="str">
        <x:v>Microchip</x:v>
      </x:c>
      <x:c r="N5" s="28" t="str">
        <x:v>Mayor memoria; misma familia PIC32MX2xxD. Revisar bootloader antes de cambiar.</x:v>
      </x:c>
      <x:c r="O5" s="28" t="str">
        <x:v>Compatible con revisión</x:v>
      </x:c>
      <x:c r="P5" s="28" t="str">
        <x:v>Alta</x:v>
      </x:c>
      <x:c r="Q5" s="28" t="str">
        <x:v>PIC32MX230F064D-I/PT</x:v>
      </x:c>
      <x:c r="R5" s="28" t="str">
        <x:v>TQFP-44 / PT</x:v>
      </x:c>
      <x:c r="S5" s="28" t="str">
        <x:v>Microchip</x:v>
      </x:c>
      <x:c r="T5" s="28" t="str">
        <x:v>Alternativa intermedia con más memoria que el 220. Revisar configuración del proyecto.</x:v>
      </x:c>
      <x:c r="U5" s="28" t="str">
        <x:v>Compatible con revisión</x:v>
      </x:c>
      <x:c r="V5" s="28" t="str">
        <x:v>https://www.mouser.mx/c/?q=PIC32MX250F128D-I%2FPT</x:v>
      </x:c>
      <x:c r="W5" s="28" t="str">
        <x:v>Confirmar pinout en datasheet y bootloader.</x:v>
      </x:c>
    </x:row>
    <x:row r="6" ht="50" customHeight="1">
      <x:c r="A6" s="28" t="n">
        <x:v>2</x:v>
      </x:c>
      <x:c r="B6" s="28" t="str">
        <x:v>Conector USB Mini-B SMD USB-MINI</x:v>
      </x:c>
      <x:c r="C6" s="28" t="str">
        <x:v>USB_DEV</x:v>
      </x:c>
      <x:c r="D6" s="28" t="n">
        <x:v>1</x:v>
      </x:c>
      <x:c r="E6" s="28" t="str">
        <x:v>Programación/comunicación USB</x:v>
      </x:c>
      <x:c r="F6" s="28" t="str">
        <x:v>Mini-B SMD 5 pines</x:v>
      </x:c>
      <x:c r="G6" s="28" t="str">
        <x:v>Crítico</x:v>
      </x:c>
      <x:c r="H6" s="28" t="str">
        <x:v>USD $1.95</x:v>
      </x:c>
      <x:c r="I6" s="28" t="str">
        <x:v>SparkFun</x:v>
      </x:c>
      <x:c r="J6" s="28" t="str">
        <x:v>https://www.sparkfun.com/products/587</x:v>
      </x:c>
      <x:c r="K6" s="28" t="str">
        <x:v>USB Mini-B SMD 5 pines equivalente</x:v>
      </x:c>
      <x:c r="L6" s="28" t="str">
        <x:v>Mini-B SMD</x:v>
      </x:c>
      <x:c r="M6" s="28" t="str">
        <x:v>Molex / Hirose / genérico</x:v>
      </x:c>
      <x:c r="N6" s="28" t="str">
        <x:v>Debe conservar huella, anclajes mecánicos y posición de pines.</x:v>
      </x:c>
      <x:c r="O6" s="28" t="str">
        <x:v>Compatible con revisión</x:v>
      </x:c>
      <x:c r="P6" s="28" t="str">
        <x:v>Alta</x:v>
      </x:c>
      <x:c r="Q6" s="28" t="str">
        <x:v>Molex 54819-0572 o equivalente</x:v>
      </x:c>
      <x:c r="R6" s="28" t="str">
        <x:v>Mini-B SMD</x:v>
      </x:c>
      <x:c r="S6" s="28" t="str">
        <x:v>Molex</x:v>
      </x:c>
      <x:c r="T6" s="28" t="str">
        <x:v>Buena opción si coincide el footprint.</x:v>
      </x:c>
      <x:c r="U6" s="28" t="str">
        <x:v>Compatible con revisión</x:v>
      </x:c>
      <x:c r="V6" s="28" t="str">
        <x:v>https://www.mouser.mx/c/connectors/usb-connectors/usb-connectors/?q=mini%20b%20smd</x:v>
      </x:c>
      <x:c r="W6" s="28" t="str">
        <x:v>Comparar dimensiones mecánicas con el footprint del PCB.</x:v>
      </x:c>
    </x:row>
    <x:row r="7" ht="50" customHeight="1">
      <x:c r="A7" s="28" t="n">
        <x:v>3</x:v>
      </x:c>
      <x:c r="B7" s="28" t="str">
        <x:v>Conector batería Li-Po 3.7 V 2 pines DW02R</x:v>
      </x:c>
      <x:c r="C7" s="28" t="str">
        <x:v>3.7V-LI_BAT</x:v>
      </x:c>
      <x:c r="D7" s="28" t="n">
        <x:v>1</x:v>
      </x:c>
      <x:c r="E7" s="28" t="str">
        <x:v>Entrada de batería</x:v>
      </x:c>
      <x:c r="F7" s="28" t="str">
        <x:v>JST 2 pines / similar</x:v>
      </x:c>
      <x:c r="G7" s="28" t="str">
        <x:v>Importante</x:v>
      </x:c>
      <x:c r="H7" s="28" t="str">
        <x:v>MXN $5.00</x:v>
      </x:c>
      <x:c r="I7" s="28" t="str">
        <x:v>INTESC</x:v>
      </x:c>
      <x:c r="J7" s="28" t="str">
        <x:v>https://intesc.mx/productos/conector-macho-tipo-jst-de-2-pines/</x:v>
      </x:c>
      <x:c r="K7" s="28" t="str">
        <x:v>JST-PH 2 pines 2.0 mm</x:v>
      </x:c>
      <x:c r="L7" s="28" t="str">
        <x:v>PH 2.0 mm</x:v>
      </x:c>
      <x:c r="M7" s="28" t="str">
        <x:v>JST / genérico</x:v>
      </x:c>
      <x:c r="N7" s="28" t="str">
        <x:v>Sustituto común para baterías Li-Po; revisar orientación y paso.</x:v>
      </x:c>
      <x:c r="O7" s="28" t="str">
        <x:v>Compatible con revisión</x:v>
      </x:c>
      <x:c r="P7" s="28" t="str">
        <x:v>Media</x:v>
      </x:c>
      <x:c r="Q7" s="28" t="str">
        <x:v>Conector JST 2 pines cableado</x:v>
      </x:c>
      <x:c r="R7" s="28" t="str">
        <x:v>PH 2.0 mm</x:v>
      </x:c>
      <x:c r="S7" s="28" t="str">
        <x:v>genérico</x:v>
      </x:c>
      <x:c r="T7" s="28" t="str">
        <x:v>Puede usarse si se adapta mecánicamente al montaje.</x:v>
      </x:c>
      <x:c r="U7" s="28" t="str">
        <x:v>Compatible con revisión</x:v>
      </x:c>
      <x:c r="V7" s="28" t="str">
        <x:v>https://www.mouser.mx/c/connectors/wire-to-board-connectors/?q=JST%20PH%202%20pin</x:v>
      </x:c>
      <x:c r="W7" s="28" t="str">
        <x:v>No invertir polaridad de batería.</x:v>
      </x:c>
    </x:row>
    <x:row r="8" ht="50" customHeight="1">
      <x:c r="A8" s="28" t="n">
        <x:v>4</x:v>
      </x:c>
      <x:c r="B8" s="28" t="str">
        <x:v>Jack alimentación 5 VDC YDJ-1136</x:v>
      </x:c>
      <x:c r="C8" s="28" t="str">
        <x:v>PWR</x:v>
      </x:c>
      <x:c r="D8" s="28" t="n">
        <x:v>1</x:v>
      </x:c>
      <x:c r="E8" s="28" t="str">
        <x:v>Entrada externa 5 V</x:v>
      </x:c>
      <x:c r="F8" s="28" t="str">
        <x:v>Jack DC para PCB</x:v>
      </x:c>
      <x:c r="G8" s="28" t="str">
        <x:v>Importante</x:v>
      </x:c>
      <x:c r="H8" s="28" t="str">
        <x:v>MXN $5.50</x:v>
      </x:c>
      <x:c r="I8" s="28" t="str">
        <x:v>Idea Electrónica</x:v>
      </x:c>
      <x:c r="J8" s="28" t="str">
        <x:v>https://www.ideaelectronica.mx/conectores-de-energia/4293-705-571-conector-de-barril-dc-para-pcb.html</x:v>
      </x:c>
      <x:c r="K8" s="28" t="str">
        <x:v>Jack DC 5.5 x 2.1 mm para PCB</x:v>
      </x:c>
      <x:c r="L8" s="28" t="str">
        <x:v>Through-hole / PCB</x:v>
      </x:c>
      <x:c r="M8" s="28" t="str">
        <x:v>genérico</x:v>
      </x:c>
      <x:c r="N8" s="28" t="str">
        <x:v>Usar solo si coincide el espaciamiento de pines y polaridad.</x:v>
      </x:c>
      <x:c r="O8" s="28" t="str">
        <x:v>Compatible con revisión</x:v>
      </x:c>
      <x:c r="P8" s="28" t="str">
        <x:v>Media</x:v>
      </x:c>
      <x:c r="Q8" s="28" t="str">
        <x:v>PJ-102A / PJ-002A similar</x:v>
      </x:c>
      <x:c r="R8" s="28" t="str">
        <x:v>Jack DC PCB</x:v>
      </x:c>
      <x:c r="S8" s="28" t="str">
        <x:v>genérico</x:v>
      </x:c>
      <x:c r="T8" s="28" t="str">
        <x:v>Alternativa frecuente en tarjetas de desarrollo.</x:v>
      </x:c>
      <x:c r="U8" s="28" t="str">
        <x:v>Compatible con revisión</x:v>
      </x:c>
      <x:c r="V8" s="28" t="str">
        <x:v>https://www.mouser.mx/c/connectors/power-connectors/dc-power-connectors/?q=dc%20jack%20pcb</x:v>
      </x:c>
      <x:c r="W8" s="28" t="str">
        <x:v>Si el jack es opcional, puede quedar como no ensamblado.</x:v>
      </x:c>
    </x:row>
    <x:row r="9" ht="50" customHeight="1">
      <x:c r="A9" s="28" t="n">
        <x:v>5</x:v>
      </x:c>
      <x:c r="B9" s="28" t="str">
        <x:v>BAT54C Schottky doble cátodo común</x:v>
      </x:c>
      <x:c r="C9" s="28" t="str">
        <x:v>D1</x:v>
      </x:c>
      <x:c r="D9" s="28" t="n">
        <x:v>1</x:v>
      </x:c>
      <x:c r="E9" s="28" t="str">
        <x:v>Protección/conmutación de alimentación</x:v>
      </x:c>
      <x:c r="F9" s="28" t="str">
        <x:v>SOT-23</x:v>
      </x:c>
      <x:c r="G9" s="28" t="str">
        <x:v>Crítico</x:v>
      </x:c>
      <x:c r="H9" s="28" t="str">
        <x:v>MXN $4.50 aprox.</x:v>
      </x:c>
      <x:c r="I9" s="28" t="str">
        <x:v>Teknomovo</x:v>
      </x:c>
      <x:c r="J9" s="28" t="str">
        <x:v>https://teknomovo.com.mx/producto/diodo-doble-de-pequena-senal-schottky-catodo-comun-200-ma-30-v-voltaje-en-directo-muy-bajo-alta-frecuencia-smd/</x:v>
      </x:c>
      <x:c r="K9" s="28" t="str">
        <x:v>BAT54C</x:v>
      </x:c>
      <x:c r="L9" s="28" t="str">
        <x:v>SOT-23</x:v>
      </x:c>
      <x:c r="M9" s="28" t="str">
        <x:v>onsemi / Nexperia / Diodes Inc.</x:v>
      </x:c>
      <x:c r="N9" s="28" t="str">
        <x:v>Sustitución directa si conserva configuración de cátodo común.</x:v>
      </x:c>
      <x:c r="O9" s="28" t="str">
        <x:v>Compatible directo</x:v>
      </x:c>
      <x:c r="P9" s="28" t="str">
        <x:v>Alta</x:v>
      </x:c>
      <x:c r="Q9" s="28" t="str">
        <x:v>BAT54CW</x:v>
      </x:c>
      <x:c r="R9" s="28" t="str">
        <x:v>SOT-323</x:v>
      </x:c>
      <x:c r="S9" s="28" t="str">
        <x:v>Nexperia / similar</x:v>
      </x:c>
      <x:c r="T9" s="28" t="str">
        <x:v>Eléctricamente similar, pero cambia encapsulado.</x:v>
      </x:c>
      <x:c r="U9" s="28" t="str">
        <x:v>No recomendado sin cambio PCB</x:v>
      </x:c>
      <x:c r="V9" s="28" t="str">
        <x:v>https://www.mouser.mx/c/semiconductors/discrete-semiconductors/diodes-rectifiers/schottky-diodes-rectifiers/?q=BAT54C</x:v>
      </x:c>
      <x:c r="W9" s="28" t="str">
        <x:v>Evitar BAT54A/B porque cambia la configuración interna.</x:v>
      </x:c>
    </x:row>
    <x:row r="10" ht="50" customHeight="1">
      <x:c r="A10" s="28" t="n">
        <x:v>6</x:v>
      </x:c>
      <x:c r="B10" s="28" t="str">
        <x:v>MCP1700T-3302E/MB LDO 3.3 V</x:v>
      </x:c>
      <x:c r="C10" s="28" t="str">
        <x:v>VR2</x:v>
      </x:c>
      <x:c r="D10" s="28" t="n">
        <x:v>1</x:v>
      </x:c>
      <x:c r="E10" s="28" t="str">
        <x:v>Regulación principal 3.3 V</x:v>
      </x:c>
      <x:c r="F10" s="28" t="str">
        <x:v>SOT-89 / MB</x:v>
      </x:c>
      <x:c r="G10" s="28" t="str">
        <x:v>Crítico</x:v>
      </x:c>
      <x:c r="H10" s="28" t="str">
        <x:v>USD $0.5422</x:v>
      </x:c>
      <x:c r="I10" s="28" t="str">
        <x:v>LCSC</x:v>
      </x:c>
      <x:c r="J10" s="28" t="str">
        <x:v>https://www.lcsc.com/product-detail/C632000.html</x:v>
      </x:c>
      <x:c r="K10" s="28" t="str">
        <x:v>MCP1700T-3302E/MB</x:v>
      </x:c>
      <x:c r="L10" s="28" t="str">
        <x:v>SOT-89 / MB</x:v>
      </x:c>
      <x:c r="M10" s="28" t="str">
        <x:v>Microchip</x:v>
      </x:c>
      <x:c r="N10" s="28" t="str">
        <x:v>Mismo número de parte en otro proveedor; preferente.</x:v>
      </x:c>
      <x:c r="O10" s="28" t="str">
        <x:v>Compatible directo</x:v>
      </x:c>
      <x:c r="P10" s="28" t="str">
        <x:v>Alta</x:v>
      </x:c>
      <x:c r="Q10" s="28" t="str">
        <x:v>MCP1703A-3302E/MB</x:v>
      </x:c>
      <x:c r="R10" s="28" t="str">
        <x:v>SOT-89 / MB</x:v>
      </x:c>
      <x:c r="S10" s="28" t="str">
        <x:v>Microchip</x:v>
      </x:c>
      <x:c r="T10" s="28" t="str">
        <x:v>Revisar corriente, dropout y pinout antes de compra.</x:v>
      </x:c>
      <x:c r="U10" s="28" t="str">
        <x:v>Compatible con revisión</x:v>
      </x:c>
      <x:c r="V10" s="28" t="str">
        <x:v>https://www.mouser.mx/c/semiconductors/power-management-ics/voltage-regulators-voltage-controllers/ldo-voltage-regulators/?q=MCP1700T-3302E%2FMB</x:v>
      </x:c>
      <x:c r="W10" s="28" t="str">
        <x:v>Mantener salida de 3.3 V y verificar capacitor recomendado.</x:v>
      </x:c>
    </x:row>
    <x:row r="11" ht="50" customHeight="1">
      <x:c r="A11" s="28" t="n">
        <x:v>7</x:v>
      </x:c>
      <x:c r="B11" s="28" t="str">
        <x:v>LM1117IMPX-ADJ regulador ajustable</x:v>
      </x:c>
      <x:c r="C11" s="28" t="str">
        <x:v>VR1</x:v>
      </x:c>
      <x:c r="D11" s="28" t="n">
        <x:v>1</x:v>
      </x:c>
      <x:c r="E11" s="28" t="str">
        <x:v>Regulación opcional/ajustable</x:v>
      </x:c>
      <x:c r="F11" s="28" t="str">
        <x:v>SOT-223</x:v>
      </x:c>
      <x:c r="G11" s="28" t="str">
        <x:v>Importante</x:v>
      </x:c>
      <x:c r="H11" s="28" t="str">
        <x:v>USD $1.04</x:v>
      </x:c>
      <x:c r="I11" s="28" t="str">
        <x:v>Mouser</x:v>
      </x:c>
      <x:c r="J11" s="28" t="str">
        <x:v>https://www.mouser.com/ProductDetail/Texas-Instruments/LM1117IMPX-ADJ-NOPB?qs=X1J7HmVL2ZH7x9eSBiUHaQ%3D%3D</x:v>
      </x:c>
      <x:c r="K11" s="28" t="str">
        <x:v>AMS1117-ADJ</x:v>
      </x:c>
      <x:c r="L11" s="28" t="str">
        <x:v>SOT-223</x:v>
      </x:c>
      <x:c r="M11" s="28" t="str">
        <x:v>Advanced Monolithic / genérico</x:v>
      </x:c>
      <x:c r="N11" s="28" t="str">
        <x:v>Alternativa común; revisar tolerancia y disipación.</x:v>
      </x:c>
      <x:c r="O11" s="28" t="str">
        <x:v>Compatible con revisión</x:v>
      </x:c>
      <x:c r="P11" s="28" t="str">
        <x:v>Media</x:v>
      </x:c>
      <x:c r="Q11" s="28" t="str">
        <x:v>LM1117MPX-ADJ/NOPB</x:v>
      </x:c>
      <x:c r="R11" s="28" t="str">
        <x:v>SOT-223</x:v>
      </x:c>
      <x:c r="S11" s="28" t="str">
        <x:v>Texas Instruments</x:v>
      </x:c>
      <x:c r="T11" s="28" t="str">
        <x:v>Misma familia funcional, validar código exacto.</x:v>
      </x:c>
      <x:c r="U11" s="28" t="str">
        <x:v>Compatible con revisión</x:v>
      </x:c>
      <x:c r="V11" s="28" t="str">
        <x:v>https://www.mouser.mx/c/semiconductors/power-management-ics/voltage-regulators-voltage-controllers/ldo-voltage-regulators/?q=LM1117%20ADJ</x:v>
      </x:c>
      <x:c r="W11" s="28" t="str">
        <x:v>Al ser opcional/NA, confirmar si se ensambla en Rev A.</x:v>
      </x:c>
    </x:row>
    <x:row r="12" ht="50" customHeight="1">
      <x:c r="A12" s="28" t="n">
        <x:v>8</x:v>
      </x:c>
      <x:c r="B12" s="28" t="str">
        <x:v>Cristal 8.000 MHz HC-49SM SMD 20 pF 20 ppm</x:v>
      </x:c>
      <x:c r="C12" s="28" t="str">
        <x:v>Y1</x:v>
      </x:c>
      <x:c r="D12" s="28" t="n">
        <x:v>1</x:v>
      </x:c>
      <x:c r="E12" s="28" t="str">
        <x:v>Reloj externo</x:v>
      </x:c>
      <x:c r="F12" s="28" t="str">
        <x:v>HC-49SM SMD</x:v>
      </x:c>
      <x:c r="G12" s="28" t="str">
        <x:v>Crítico</x:v>
      </x:c>
      <x:c r="H12" s="28" t="str">
        <x:v>MXN $6.00</x:v>
      </x:c>
      <x:c r="I12" s="28" t="str">
        <x:v>INTESC</x:v>
      </x:c>
      <x:c r="J12" s="28" t="str">
        <x:v>https://intesc.mx/productos/oscilador-de-8mhz-smd/</x:v>
      </x:c>
      <x:c r="K12" s="28" t="str">
        <x:v>Cristal 8 MHz 20 pF HC-49SM</x:v>
      </x:c>
      <x:c r="L12" s="28" t="str">
        <x:v>HC-49SM SMD</x:v>
      </x:c>
      <x:c r="M12" s="28" t="str">
        <x:v>ECS / Abracon / genérico</x:v>
      </x:c>
      <x:c r="N12" s="28" t="str">
        <x:v>Debe conservar 8 MHz y carga cercana a 20 pF.</x:v>
      </x:c>
      <x:c r="O12" s="28" t="str">
        <x:v>Compatible directo</x:v>
      </x:c>
      <x:c r="P12" s="28" t="str">
        <x:v>Alta</x:v>
      </x:c>
      <x:c r="Q12" s="28" t="str">
        <x:v>ABLS-8.000MHZ-B4-T</x:v>
      </x:c>
      <x:c r="R12" s="28" t="str">
        <x:v>HC-49US/SMD</x:v>
      </x:c>
      <x:c r="S12" s="28" t="str">
        <x:v>Abracon</x:v>
      </x:c>
      <x:c r="T12" s="28" t="str">
        <x:v>Validar tamaño físico y capacitores de carga.</x:v>
      </x:c>
      <x:c r="U12" s="28" t="str">
        <x:v>Compatible con revisión</x:v>
      </x:c>
      <x:c r="V12" s="28" t="str">
        <x:v>https://www.mouser.mx/c/passive-components/frequency-control-timing-devices/crystals/?q=8MHz%2020pF%20SMD</x:v>
      </x:c>
      <x:c r="W12" s="28" t="str">
        <x:v>No cambiar frecuencia sin ajustar configuración del firmware.</x:v>
      </x:c>
    </x:row>
    <x:row r="13" ht="50" customHeight="1">
      <x:c r="A13" s="28" t="n">
        <x:v>9</x:v>
      </x:c>
      <x:c r="B13" s="28" t="str">
        <x:v>LED verde SMD 0603</x:v>
      </x:c>
      <x:c r="C13" s="28" t="str">
        <x:v>LED</x:v>
      </x:c>
      <x:c r="D13" s="28" t="n">
        <x:v>1</x:v>
      </x:c>
      <x:c r="E13" s="28" t="str">
        <x:v>Indicador visual</x:v>
      </x:c>
      <x:c r="F13" s="28" t="str">
        <x:v>0603</x:v>
      </x:c>
      <x:c r="G13" s="28" t="str">
        <x:v>Sustituible</x:v>
      </x:c>
      <x:c r="H13" s="28" t="str">
        <x:v>MXN $1.50</x:v>
      </x:c>
      <x:c r="I13" s="28" t="str">
        <x:v>Aelectronics</x:v>
      </x:c>
      <x:c r="J13" s="28" t="str">
        <x:v>https://aelectronics.com.mx/home/2580-led-smd-0603-verde.html</x:v>
      </x:c>
      <x:c r="K13" s="28" t="str">
        <x:v>LED verde 0603 equivalente</x:v>
      </x:c>
      <x:c r="L13" s="28" t="str">
        <x:v>0603</x:v>
      </x:c>
      <x:c r="M13" s="28" t="str">
        <x:v>Everlight / Lite-On / genérico</x:v>
      </x:c>
      <x:c r="N13" s="28" t="str">
        <x:v>Sustitución directa si se respeta polaridad.</x:v>
      </x:c>
      <x:c r="O13" s="28" t="str">
        <x:v>Compatible directo</x:v>
      </x:c>
      <x:c r="P13" s="28" t="str">
        <x:v>Baja</x:v>
      </x:c>
      <x:c r="Q13" s="28" t="str">
        <x:v>LED 0603 verde de alta luminosidad</x:v>
      </x:c>
      <x:c r="R13" s="28" t="str">
        <x:v>0603</x:v>
      </x:c>
      <x:c r="S13" s="28" t="str">
        <x:v>genérico</x:v>
      </x:c>
      <x:c r="T13" s="28" t="str">
        <x:v>Puede cambiar brillo; mantener resistencia de limitación.</x:v>
      </x:c>
      <x:c r="U13" s="28" t="str">
        <x:v>Compatible directo</x:v>
      </x:c>
      <x:c r="V13" s="28" t="str">
        <x:v>https://www.mouser.mx/c/optoelectronics/led-lighting/standard-leds-smd/?q=0603%20green%20LED</x:v>
      </x:c>
      <x:c r="W13" s="28" t="str">
        <x:v>Verificar ánodo/cátodo en montaje.</x:v>
      </x:c>
    </x:row>
    <x:row r="14" ht="50" customHeight="1">
      <x:c r="A14" s="28" t="n">
        <x:v>10</x:v>
      </x:c>
      <x:c r="B14" s="28" t="str">
        <x:v>LED rojo SMD 0603</x:v>
      </x:c>
      <x:c r="C14" s="28" t="str">
        <x:v>LED</x:v>
      </x:c>
      <x:c r="D14" s="28" t="n">
        <x:v>1</x:v>
      </x:c>
      <x:c r="E14" s="28" t="str">
        <x:v>Indicador visual</x:v>
      </x:c>
      <x:c r="F14" s="28" t="str">
        <x:v>0603</x:v>
      </x:c>
      <x:c r="G14" s="28" t="str">
        <x:v>Sustituible</x:v>
      </x:c>
      <x:c r="H14" s="28" t="str">
        <x:v>MXN $0.50</x:v>
      </x:c>
      <x:c r="I14" s="28" t="str">
        <x:v>Uelectronics</x:v>
      </x:c>
      <x:c r="J14" s="28" t="str">
        <x:v>https://uelectronics.com/producto/ncd0603r1-led-rojo-smd-0603/</x:v>
      </x:c>
      <x:c r="K14" s="28" t="str">
        <x:v>LED rojo 0603 equivalente</x:v>
      </x:c>
      <x:c r="L14" s="28" t="str">
        <x:v>0603</x:v>
      </x:c>
      <x:c r="M14" s="28" t="str">
        <x:v>Everlight / Lite-On / genérico</x:v>
      </x:c>
      <x:c r="N14" s="28" t="str">
        <x:v>Sustitución directa si se respeta polaridad.</x:v>
      </x:c>
      <x:c r="O14" s="28" t="str">
        <x:v>Compatible directo</x:v>
      </x:c>
      <x:c r="P14" s="28" t="str">
        <x:v>Baja</x:v>
      </x:c>
      <x:c r="Q14" s="28" t="str">
        <x:v>LED 0603 rojo estándar</x:v>
      </x:c>
      <x:c r="R14" s="28" t="str">
        <x:v>0603</x:v>
      </x:c>
      <x:c r="S14" s="28" t="str">
        <x:v>genérico</x:v>
      </x:c>
      <x:c r="T14" s="28" t="str">
        <x:v>Puede cambiar brillo, no afecta función principal.</x:v>
      </x:c>
      <x:c r="U14" s="28" t="str">
        <x:v>Compatible directo</x:v>
      </x:c>
      <x:c r="V14" s="28" t="str">
        <x:v>https://www.mouser.mx/c/optoelectronics/led-lighting/standard-leds-smd/?q=0603%20red%20LED</x:v>
      </x:c>
      <x:c r="W14" s="28" t="str">
        <x:v>Comprar piezas extra por pérdidas de soldadura.</x:v>
      </x:c>
    </x:row>
    <x:row r="15" ht="50" customHeight="1">
      <x:c r="A15" s="28" t="n">
        <x:v>11</x:v>
      </x:c>
      <x:c r="B15" s="28" t="str">
        <x:v>Pulsador táctil SMD T1107A 6 x 3.8 x 2.5 mm</x:v>
      </x:c>
      <x:c r="C15" s="28" t="str">
        <x:v>BUT, RST</x:v>
      </x:c>
      <x:c r="D15" s="28" t="n">
        <x:v>2</x:v>
      </x:c>
      <x:c r="E15" s="28" t="str">
        <x:v>Reset y botón usuario</x:v>
      </x:c>
      <x:c r="F15" s="28" t="str">
        <x:v>SMD 6 x 3.8 mm</x:v>
      </x:c>
      <x:c r="G15" s="28" t="str">
        <x:v>Importante</x:v>
      </x:c>
      <x:c r="H15" s="28" t="str">
        <x:v>MXN $2.00</x:v>
      </x:c>
      <x:c r="I15" s="28" t="str">
        <x:v>SIEEG</x:v>
      </x:c>
      <x:c r="J15" s="28" t="str">
        <x:v>https://sieeg.com.mx/producto/switch-interruptor-smd-3x6x3-8mm/</x:v>
      </x:c>
      <x:c r="K15" s="28" t="str">
        <x:v>Pulsador SMD 3 x 6 x 3.8 mm</x:v>
      </x:c>
      <x:c r="L15" s="28" t="str">
        <x:v>SMD 3x6</x:v>
      </x:c>
      <x:c r="M15" s="28" t="str">
        <x:v>genérico</x:v>
      </x:c>
      <x:c r="N15" s="28" t="str">
        <x:v>Debe coincidir la huella de cuatro terminales.</x:v>
      </x:c>
      <x:c r="O15" s="28" t="str">
        <x:v>Compatible con revisión</x:v>
      </x:c>
      <x:c r="P15" s="28" t="str">
        <x:v>Media</x:v>
      </x:c>
      <x:c r="Q15" s="28" t="str">
        <x:v>Tact switch SMD 6 x 3.8 mm</x:v>
      </x:c>
      <x:c r="R15" s="28" t="str">
        <x:v>SMD</x:v>
      </x:c>
      <x:c r="S15" s="28" t="str">
        <x:v>C&amp;K / E-Switch / genérico</x:v>
      </x:c>
      <x:c r="T15" s="28" t="str">
        <x:v>Usar si el footprint coincide.</x:v>
      </x:c>
      <x:c r="U15" s="28" t="str">
        <x:v>Compatible con revisión</x:v>
      </x:c>
      <x:c r="V15" s="28" t="str">
        <x:v>https://www.mouser.mx/c/electromechanical/switches/tactile-switches/?q=tact%20switch%20smd%206x3.8</x:v>
      </x:c>
      <x:c r="W15" s="28" t="str">
        <x:v>Revisar altura para que no estorbe en caja.</x:v>
      </x:c>
    </x:row>
    <x:row r="16" ht="50" customHeight="1">
      <x:c r="A16" s="28" t="n">
        <x:v>12</x:v>
      </x:c>
      <x:c r="B16" s="28" t="str">
        <x:v>Conector UEXT BH10R 10 pines</x:v>
      </x:c>
      <x:c r="C16" s="28" t="str">
        <x:v>UEXT</x:v>
      </x:c>
      <x:c r="D16" s="28" t="n">
        <x:v>1</x:v>
      </x:c>
      <x:c r="E16" s="28" t="str">
        <x:v>Expansión UEXT</x:v>
      </x:c>
      <x:c r="F16" s="28" t="str">
        <x:v>2x5 2.54 mm</x:v>
      </x:c>
      <x:c r="G16" s="28" t="str">
        <x:v>Importante</x:v>
      </x:c>
      <x:c r="H16" s="28" t="str">
        <x:v>MXN $5.50</x:v>
      </x:c>
      <x:c r="I16" s="28" t="str">
        <x:v>Idea Electrónica</x:v>
      </x:c>
      <x:c r="J16" s="28" t="str">
        <x:v>https://www.ideaelectronica.mx/conectores-de-energia/3895-fcn-2x5-conector-macho-10-pin-para-cable-plano.html</x:v>
      </x:c>
      <x:c r="K16" s="28" t="str">
        <x:v>Header IDC 2x5 2.54 mm</x:v>
      </x:c>
      <x:c r="L16" s="28" t="str">
        <x:v>2x5 2.54 mm</x:v>
      </x:c>
      <x:c r="M16" s="28" t="str">
        <x:v>genérico</x:v>
      </x:c>
      <x:c r="N16" s="28" t="str">
        <x:v>Compatible si conserva orientación y paso.</x:v>
      </x:c>
      <x:c r="O16" s="28" t="str">
        <x:v>Compatible directo</x:v>
      </x:c>
      <x:c r="P16" s="28" t="str">
        <x:v>Media</x:v>
      </x:c>
      <x:c r="Q16" s="28" t="str">
        <x:v>Box header 2x5 2.54 mm</x:v>
      </x:c>
      <x:c r="R16" s="28" t="str">
        <x:v>2x5 2.54 mm</x:v>
      </x:c>
      <x:c r="S16" s="28" t="str">
        <x:v>Samtec / genérico</x:v>
      </x:c>
      <x:c r="T16" s="28" t="str">
        <x:v>Mejor si se requiere polarización del cable.</x:v>
      </x:c>
      <x:c r="U16" s="28" t="str">
        <x:v>Compatible con revisión</x:v>
      </x:c>
      <x:c r="V16" s="28" t="str">
        <x:v>https://www.mouser.mx/c/connectors/headers-wire-housings/headers-shrouded-wire-housings/?q=2x5%202.54%20box%20header</x:v>
      </x:c>
      <x:c r="W16" s="28" t="str">
        <x:v>Verificar pin 1 en serigrafía.</x:v>
      </x:c>
    </x:row>
    <x:row r="17" ht="50" customHeight="1">
      <x:c r="A17" s="28" t="n">
        <x:v>13</x:v>
      </x:c>
      <x:c r="B17" s="28" t="str">
        <x:v>Header ICSP WF6S 6 pines</x:v>
      </x:c>
      <x:c r="C17" s="28" t="str">
        <x:v>ICSP</x:v>
      </x:c>
      <x:c r="D17" s="28" t="n">
        <x:v>1</x:v>
      </x:c>
      <x:c r="E17" s="28" t="str">
        <x:v>Programación externa</x:v>
      </x:c>
      <x:c r="F17" s="28" t="str">
        <x:v>1x6 2.54 mm</x:v>
      </x:c>
      <x:c r="G17" s="28" t="str">
        <x:v>Crítico</x:v>
      </x:c>
      <x:c r="H17" s="28" t="str">
        <x:v>MXN $5.00</x:v>
      </x:c>
      <x:c r="I17" s="28" t="str">
        <x:v>INTESC</x:v>
      </x:c>
      <x:c r="J17" s="28" t="str">
        <x:v>https://intesc.mx/productos/tira-de-40-pines-macho-de-2-54mm/</x:v>
      </x:c>
      <x:c r="K17" s="28" t="str">
        <x:v>Header macho 1x6 2.54 mm</x:v>
      </x:c>
      <x:c r="L17" s="28" t="str">
        <x:v>1x6 2.54 mm</x:v>
      </x:c>
      <x:c r="M17" s="28" t="str">
        <x:v>genérico</x:v>
      </x:c>
      <x:c r="N17" s="28" t="str">
        <x:v>Sustitución directa con tira recortable.</x:v>
      </x:c>
      <x:c r="O17" s="28" t="str">
        <x:v>Compatible directo</x:v>
      </x:c>
      <x:c r="P17" s="28" t="str">
        <x:v>Alta</x:v>
      </x:c>
      <x:c r="Q17" s="28" t="str">
        <x:v>Header angular 1x6 2.54 mm</x:v>
      </x:c>
      <x:c r="R17" s="28" t="str">
        <x:v>1x6 2.54 mm</x:v>
      </x:c>
      <x:c r="S17" s="28" t="str">
        <x:v>genérico</x:v>
      </x:c>
      <x:c r="T17" s="28" t="str">
        <x:v>Útil si se requiere acceso lateral.</x:v>
      </x:c>
      <x:c r="U17" s="28" t="str">
        <x:v>Compatible con revisión</x:v>
      </x:c>
      <x:c r="V17" s="28" t="str">
        <x:v>https://www.mouser.mx/c/connectors/headers-wire-housings/headers-pin-strip/?q=1x6%202.54%20header</x:v>
      </x:c>
      <x:c r="W17" s="28" t="str">
        <x:v>Mantener orden MCLR, VDD, GND, PGD y PGC.</x:v>
      </x:c>
    </x:row>
    <x:row r="18" ht="50" customHeight="1">
      <x:c r="A18" s="28" t="n">
        <x:v>14</x:v>
      </x:c>
      <x:c r="B18" s="28" t="str">
        <x:v>Juego de headers Arduino 2 x PN1x8 + 2 x PN1x6</x:v>
      </x:c>
      <x:c r="C18" s="28" t="str">
        <x:v>CON1-CON5</x:v>
      </x:c>
      <x:c r="D18" s="28" t="n">
        <x:v>1</x:v>
      </x:c>
      <x:c r="E18" s="28" t="str">
        <x:v>Conexión tipo shield/headers</x:v>
      </x:c>
      <x:c r="F18" s="28" t="str">
        <x:v>2.54 mm hembra</x:v>
      </x:c>
      <x:c r="G18" s="28" t="str">
        <x:v>Importante</x:v>
      </x:c>
      <x:c r="H18" s="28" t="str">
        <x:v>MXN $5.00</x:v>
      </x:c>
      <x:c r="I18" s="28" t="str">
        <x:v>Rantec</x:v>
      </x:c>
      <x:c r="J18" s="28" t="str">
        <x:v>https://rantec.mx/tienda/tiras-de-header-hembra-de-40-dupont-2-54mm/</x:v>
      </x:c>
      <x:c r="K18" s="28" t="str">
        <x:v>Tira header hembra 2.54 mm recortable</x:v>
      </x:c>
      <x:c r="L18" s="28" t="str">
        <x:v>2.54 mm</x:v>
      </x:c>
      <x:c r="M18" s="28" t="str">
        <x:v>genérico</x:v>
      </x:c>
      <x:c r="N18" s="28" t="str">
        <x:v>Sustitución directa si se recorta a 1x6 y 1x8.</x:v>
      </x:c>
      <x:c r="O18" s="28" t="str">
        <x:v>Compatible directo</x:v>
      </x:c>
      <x:c r="P18" s="28" t="str">
        <x:v>Media</x:v>
      </x:c>
      <x:c r="Q18" s="28" t="str">
        <x:v>Headers Arduino R3 stackable</x:v>
      </x:c>
      <x:c r="R18" s="28" t="str">
        <x:v>2.54 mm</x:v>
      </x:c>
      <x:c r="S18" s="28" t="str">
        <x:v>genérico</x:v>
      </x:c>
      <x:c r="T18" s="28" t="str">
        <x:v>Más cómodo, pero revisar altura y costo.</x:v>
      </x:c>
      <x:c r="U18" s="28" t="str">
        <x:v>Compatible con revisión</x:v>
      </x:c>
      <x:c r="V18" s="28" t="str">
        <x:v>https://www.mouser.mx/c/connectors/headers-wire-housings/headers-receptacles/?q=female%20header%202.54</x:v>
      </x:c>
      <x:c r="W18" s="28" t="str">
        <x:v>Verificar alineación con footprint Arduino.</x:v>
      </x:c>
    </x:row>
    <x:row r="19" ht="50" customHeight="1">
      <x:c r="A19" s="28" t="n">
        <x:v>15</x:v>
      </x:c>
      <x:c r="B19" s="28" t="str">
        <x:v>Resistencia SMD 240 Ω 1%</x:v>
      </x:c>
      <x:c r="C19" s="28" t="str">
        <x:v>R</x:v>
      </x:c>
      <x:c r="D19" s="28" t="n">
        <x:v>1</x:v>
      </x:c>
      <x:c r="E19" s="28" t="str">
        <x:v>Limitación/divisor según BOM</x:v>
      </x:c>
      <x:c r="F19" s="28" t="str">
        <x:v>0603</x:v>
      </x:c>
      <x:c r="G19" s="28" t="str">
        <x:v>Sustituible</x:v>
      </x:c>
      <x:c r="H19" s="28" t="str">
        <x:v>MXN $0.25</x:v>
      </x:c>
      <x:c r="I19" s="28" t="str">
        <x:v>INTESC</x:v>
      </x:c>
      <x:c r="J19" s="28" t="str">
        <x:v>https://intesc.mx/productos/resistencia-de-240-ohm-1-0603/</x:v>
      </x:c>
      <x:c r="K19" s="28" t="str">
        <x:v>Resistencia 240 Ω 1% 0603</x:v>
      </x:c>
      <x:c r="L19" s="28" t="str">
        <x:v>0603</x:v>
      </x:c>
      <x:c r="M19" s="28" t="str">
        <x:v>Yageo / Vishay / genérico</x:v>
      </x:c>
      <x:c r="N19" s="28" t="str">
        <x:v>Sustitución directa.</x:v>
      </x:c>
      <x:c r="O19" s="28" t="str">
        <x:v>Compatible directo</x:v>
      </x:c>
      <x:c r="P19" s="28" t="str">
        <x:v>Baja</x:v>
      </x:c>
      <x:c r="Q19" s="28" t="str">
        <x:v>Resistencia 249 Ω 1% 0603</x:v>
      </x:c>
      <x:c r="R19" s="28" t="str">
        <x:v>0603</x:v>
      </x:c>
      <x:c r="S19" s="28" t="str">
        <x:v>genérico</x:v>
      </x:c>
      <x:c r="T19" s="28" t="str">
        <x:v>Usar solo si el diseño tolera variación.</x:v>
      </x:c>
      <x:c r="U19" s="28" t="str">
        <x:v>Compatible con revisión</x:v>
      </x:c>
      <x:c r="V19" s="28" t="str">
        <x:v>https://www.mouser.mx/c/passive-components/resistors/smd-resistors-chip-resistors/?q=240%20ohm%200603%201%25</x:v>
      </x:c>
      <x:c r="W19" s="28" t="str">
        <x:v>Comprar en lote por bajo costo.</x:v>
      </x:c>
    </x:row>
    <x:row r="20" ht="50" customHeight="1">
      <x:c r="A20" s="28" t="n">
        <x:v>16</x:v>
      </x:c>
      <x:c r="B20" s="28" t="str">
        <x:v>Resistencia SMD 390 Ω 1%</x:v>
      </x:c>
      <x:c r="C20" s="28" t="str">
        <x:v>R</x:v>
      </x:c>
      <x:c r="D20" s="28" t="n">
        <x:v>1</x:v>
      </x:c>
      <x:c r="E20" s="28" t="str">
        <x:v>Limitación/divisor según BOM</x:v>
      </x:c>
      <x:c r="F20" s="28" t="str">
        <x:v>0603</x:v>
      </x:c>
      <x:c r="G20" s="28" t="str">
        <x:v>Sustituible</x:v>
      </x:c>
      <x:c r="H20" s="28" t="str">
        <x:v>MXN $0.25</x:v>
      </x:c>
      <x:c r="I20" s="28" t="str">
        <x:v>INTESC</x:v>
      </x:c>
      <x:c r="J20" s="28" t="str">
        <x:v>https://intesc.mx/productos/resistencia-de-390-ohm-1-0603/</x:v>
      </x:c>
      <x:c r="K20" s="28" t="str">
        <x:v>Resistencia 390 Ω 1% 0603</x:v>
      </x:c>
      <x:c r="L20" s="28" t="str">
        <x:v>0603</x:v>
      </x:c>
      <x:c r="M20" s="28" t="str">
        <x:v>Yageo / Vishay / genérico</x:v>
      </x:c>
      <x:c r="N20" s="28" t="str">
        <x:v>Sustitución directa.</x:v>
      </x:c>
      <x:c r="O20" s="28" t="str">
        <x:v>Compatible directo</x:v>
      </x:c>
      <x:c r="P20" s="28" t="str">
        <x:v>Baja</x:v>
      </x:c>
      <x:c r="Q20" s="28" t="str">
        <x:v>Resistencia 383 Ω / 402 Ω 1% 0603</x:v>
      </x:c>
      <x:c r="R20" s="28" t="str">
        <x:v>0603</x:v>
      </x:c>
      <x:c r="S20" s="28" t="str">
        <x:v>genérico</x:v>
      </x:c>
      <x:c r="T20" s="28" t="str">
        <x:v>Solo si la función permite tolerancia.</x:v>
      </x:c>
      <x:c r="U20" s="28" t="str">
        <x:v>Compatible con revisión</x:v>
      </x:c>
      <x:c r="V20" s="28" t="str">
        <x:v>https://www.mouser.mx/c/passive-components/resistors/smd-resistors-chip-resistors/?q=390%20ohm%200603%201%25</x:v>
      </x:c>
      <x:c r="W20" s="28" t="str">
        <x:v>Revisar si es parte de LED o divisor.</x:v>
      </x:c>
    </x:row>
    <x:row r="21" ht="50" customHeight="1">
      <x:c r="A21" s="28" t="n">
        <x:v>17</x:v>
      </x:c>
      <x:c r="B21" s="28" t="str">
        <x:v>Resistencia SMD 2 kΩ</x:v>
      </x:c>
      <x:c r="C21" s="28" t="str">
        <x:v>R</x:v>
      </x:c>
      <x:c r="D21" s="28" t="n">
        <x:v>2</x:v>
      </x:c>
      <x:c r="E21" s="28" t="str">
        <x:v>Pull-up/divisor según BOM</x:v>
      </x:c>
      <x:c r="F21" s="28" t="str">
        <x:v>0603</x:v>
      </x:c>
      <x:c r="G21" s="28" t="str">
        <x:v>Sustituible</x:v>
      </x:c>
      <x:c r="H21" s="28" t="str">
        <x:v>MXN $0.25</x:v>
      </x:c>
      <x:c r="I21" s="28" t="str">
        <x:v>INTESC</x:v>
      </x:c>
      <x:c r="J21" s="28" t="str">
        <x:v>https://intesc.mx/productos/resistencia-de-2k-ohm-1-0603/</x:v>
      </x:c>
      <x:c r="K21" s="28" t="str">
        <x:v>Resistencia 2 kΩ 1% 0603</x:v>
      </x:c>
      <x:c r="L21" s="28" t="str">
        <x:v>0603</x:v>
      </x:c>
      <x:c r="M21" s="28" t="str">
        <x:v>Yageo / Vishay / genérico</x:v>
      </x:c>
      <x:c r="N21" s="28" t="str">
        <x:v>Sustitución directa.</x:v>
      </x:c>
      <x:c r="O21" s="28" t="str">
        <x:v>Compatible directo</x:v>
      </x:c>
      <x:c r="P21" s="28" t="str">
        <x:v>Baja</x:v>
      </x:c>
      <x:c r="Q21" s="28" t="str">
        <x:v>Resistencia 2.2 kΩ 1% 0603</x:v>
      </x:c>
      <x:c r="R21" s="28" t="str">
        <x:v>0603</x:v>
      </x:c>
      <x:c r="S21" s="28" t="str">
        <x:v>genérico</x:v>
      </x:c>
      <x:c r="T21" s="28" t="str">
        <x:v>Solo con revisión de función eléctrica.</x:v>
      </x:c>
      <x:c r="U21" s="28" t="str">
        <x:v>Compatible con revisión</x:v>
      </x:c>
      <x:c r="V21" s="28" t="str">
        <x:v>https://www.mouser.mx/c/passive-components/resistors/smd-resistors-chip-resistors/?q=2k%200603%201%25</x:v>
      </x:c>
      <x:c r="W21" s="28" t="str">
        <x:v>Mantener 0603 para no cambiar PCB.</x:v>
      </x:c>
    </x:row>
    <x:row r="22" ht="50" customHeight="1">
      <x:c r="A22" s="28" t="n">
        <x:v>18</x:v>
      </x:c>
      <x:c r="B22" s="28" t="str">
        <x:v>Resistencia SMD 4.7 kΩ</x:v>
      </x:c>
      <x:c r="C22" s="28" t="str">
        <x:v>R</x:v>
      </x:c>
      <x:c r="D22" s="28" t="n">
        <x:v>4</x:v>
      </x:c>
      <x:c r="E22" s="28" t="str">
        <x:v>Pull-up / señales</x:v>
      </x:c>
      <x:c r="F22" s="28" t="str">
        <x:v>0603</x:v>
      </x:c>
      <x:c r="G22" s="28" t="str">
        <x:v>Sustituible</x:v>
      </x:c>
      <x:c r="H22" s="28" t="str">
        <x:v>MXN $0.25</x:v>
      </x:c>
      <x:c r="I22" s="28" t="str">
        <x:v>INTESC</x:v>
      </x:c>
      <x:c r="J22" s="28" t="str">
        <x:v>https://intesc.mx/productos/resistencia-de-4-7k-ohm-1-0603/</x:v>
      </x:c>
      <x:c r="K22" s="28" t="str">
        <x:v>Resistencia 4.7 kΩ 1% 0603</x:v>
      </x:c>
      <x:c r="L22" s="28" t="str">
        <x:v>0603</x:v>
      </x:c>
      <x:c r="M22" s="28" t="str">
        <x:v>Yageo / Vishay / genérico</x:v>
      </x:c>
      <x:c r="N22" s="28" t="str">
        <x:v>Sustitución directa.</x:v>
      </x:c>
      <x:c r="O22" s="28" t="str">
        <x:v>Compatible directo</x:v>
      </x:c>
      <x:c r="P22" s="28" t="str">
        <x:v>Baja</x:v>
      </x:c>
      <x:c r="Q22" s="28" t="str">
        <x:v>Resistencia 4.7 kΩ 5% 0603</x:v>
      </x:c>
      <x:c r="R22" s="28" t="str">
        <x:v>0603</x:v>
      </x:c>
      <x:c r="S22" s="28" t="str">
        <x:v>genérico</x:v>
      </x:c>
      <x:c r="T22" s="28" t="str">
        <x:v>Aceptable para pull-up general, revisar tolerancia.</x:v>
      </x:c>
      <x:c r="U22" s="28" t="str">
        <x:v>Compatible con revisión</x:v>
      </x:c>
      <x:c r="V22" s="28" t="str">
        <x:v>https://www.mouser.mx/c/passive-components/resistors/smd-resistors-chip-resistors/?q=4.7k%200603</x:v>
      </x:c>
      <x:c r="W22" s="28" t="str">
        <x:v>Conviene comprar extra.</x:v>
      </x:c>
    </x:row>
    <x:row r="23" ht="50" customHeight="1">
      <x:c r="A23" s="28" t="n">
        <x:v>19</x:v>
      </x:c>
      <x:c r="B23" s="28" t="str">
        <x:v>Resistencia SMD 4.7 kΩ opcional/NA</x:v>
      </x:c>
      <x:c r="C23" s="28" t="str">
        <x:v>R</x:v>
      </x:c>
      <x:c r="D23" s="28" t="n">
        <x:v>2</x:v>
      </x:c>
      <x:c r="E23" s="28" t="str">
        <x:v>Opcional según ensamble</x:v>
      </x:c>
      <x:c r="F23" s="28" t="str">
        <x:v>0603</x:v>
      </x:c>
      <x:c r="G23" s="28" t="str">
        <x:v>Sustituible</x:v>
      </x:c>
      <x:c r="H23" s="28" t="str">
        <x:v>MXN $0.25</x:v>
      </x:c>
      <x:c r="I23" s="28" t="str">
        <x:v>INTESC</x:v>
      </x:c>
      <x:c r="J23" s="28" t="str">
        <x:v>https://intesc.mx/productos/resistencia-de-4-7k-ohm-1-0603/</x:v>
      </x:c>
      <x:c r="K23" s="28" t="str">
        <x:v>Resistencia 4.7 kΩ 1% 0603</x:v>
      </x:c>
      <x:c r="L23" s="28" t="str">
        <x:v>0603</x:v>
      </x:c>
      <x:c r="M23" s="28" t="str">
        <x:v>Yageo / genérico</x:v>
      </x:c>
      <x:c r="N23" s="28" t="str">
        <x:v>Sustitución directa.</x:v>
      </x:c>
      <x:c r="O23" s="28" t="str">
        <x:v>Compatible directo</x:v>
      </x:c>
      <x:c r="P23" s="28" t="str">
        <x:v>Baja</x:v>
      </x:c>
      <x:c r="Q23" s="28" t="str">
        <x:v>No ensamblar si NA</x:v>
      </x:c>
      <x:c r="R23" s="28" t="str">
        <x:v>N/A</x:v>
      </x:c>
      <x:c r="S23" s="28" t="str">
        <x:v>N/A</x:v>
      </x:c>
      <x:c r="T23" s="28" t="str">
        <x:v>Si el BOM indica NA puede omitirse en el primer prototipo.</x:v>
      </x:c>
      <x:c r="U23" s="28" t="str">
        <x:v>Compatible con revisión</x:v>
      </x:c>
      <x:c r="V23" s="28" t="str">
        <x:v>https://www.mouser.mx/c/passive-components/resistors/smd-resistors-chip-resistors/?q=4.7k%200603</x:v>
      </x:c>
      <x:c r="W23" s="28" t="str">
        <x:v>Confirmar con esquemático antes de soldar.</x:v>
      </x:c>
    </x:row>
    <x:row r="24" ht="50" customHeight="1">
      <x:c r="A24" s="28" t="n">
        <x:v>20</x:v>
      </x:c>
      <x:c r="B24" s="28" t="str">
        <x:v>Resistencia SMD 33 kΩ</x:v>
      </x:c>
      <x:c r="C24" s="28" t="str">
        <x:v>R7</x:v>
      </x:c>
      <x:c r="D24" s="28" t="n">
        <x:v>1</x:v>
      </x:c>
      <x:c r="E24" s="28" t="str">
        <x:v>Divisor/polarización</x:v>
      </x:c>
      <x:c r="F24" s="28" t="str">
        <x:v>0603</x:v>
      </x:c>
      <x:c r="G24" s="28" t="str">
        <x:v>Sustituible</x:v>
      </x:c>
      <x:c r="H24" s="28" t="str">
        <x:v>MXN $0.25</x:v>
      </x:c>
      <x:c r="I24" s="28" t="str">
        <x:v>INTESC</x:v>
      </x:c>
      <x:c r="J24" s="28" t="str">
        <x:v>https://intesc.mx/productos/resistencia-de-33k-ohm-1-0603/</x:v>
      </x:c>
      <x:c r="K24" s="28" t="str">
        <x:v>Resistencia 33 kΩ 1% 0603</x:v>
      </x:c>
      <x:c r="L24" s="28" t="str">
        <x:v>0603</x:v>
      </x:c>
      <x:c r="M24" s="28" t="str">
        <x:v>Yageo / Vishay / genérico</x:v>
      </x:c>
      <x:c r="N24" s="28" t="str">
        <x:v>Sustitución directa.</x:v>
      </x:c>
      <x:c r="O24" s="28" t="str">
        <x:v>Compatible directo</x:v>
      </x:c>
      <x:c r="P24" s="28" t="str">
        <x:v>Baja</x:v>
      </x:c>
      <x:c r="Q24" s="28" t="str">
        <x:v>Resistencia 33 kΩ 5% 0603</x:v>
      </x:c>
      <x:c r="R24" s="28" t="str">
        <x:v>0603</x:v>
      </x:c>
      <x:c r="S24" s="28" t="str">
        <x:v>genérico</x:v>
      </x:c>
      <x:c r="T24" s="28" t="str">
        <x:v>Revisar tolerancia si forma parte de medición.</x:v>
      </x:c>
      <x:c r="U24" s="28" t="str">
        <x:v>Compatible con revisión</x:v>
      </x:c>
      <x:c r="V24" s="28" t="str">
        <x:v>https://www.mouser.mx/c/passive-components/resistors/smd-resistors-chip-resistors/?q=33k%200603</x:v>
      </x:c>
      <x:c r="W24" s="28" t="str">
        <x:v>Mantener mismo valor si está en divisor.</x:v>
      </x:c>
    </x:row>
    <x:row r="25" ht="50" customHeight="1">
      <x:c r="A25" s="28" t="n">
        <x:v>21</x:v>
      </x:c>
      <x:c r="B25" s="28" t="str">
        <x:v>Resistencia SMD 0 Ω / jumper</x:v>
      </x:c>
      <x:c r="C25" s="28" t="str">
        <x:v>R</x:v>
      </x:c>
      <x:c r="D25" s="28" t="n">
        <x:v>1</x:v>
      </x:c>
      <x:c r="E25" s="28" t="str">
        <x:v>Puente de configuración</x:v>
      </x:c>
      <x:c r="F25" s="28" t="str">
        <x:v>0603</x:v>
      </x:c>
      <x:c r="G25" s="28" t="str">
        <x:v>Sustituible</x:v>
      </x:c>
      <x:c r="H25" s="28" t="str">
        <x:v>MXN $0.25</x:v>
      </x:c>
      <x:c r="I25" s="28" t="str">
        <x:v>INTESC</x:v>
      </x:c>
      <x:c r="J25" s="28" t="str">
        <x:v>https://intesc.mx/productos/resistencia-de-4-7k-ohm-1-0603/</x:v>
      </x:c>
      <x:c r="K25" s="28" t="str">
        <x:v>Resistencia 0 Ω 0603</x:v>
      </x:c>
      <x:c r="L25" s="28" t="str">
        <x:v>0603</x:v>
      </x:c>
      <x:c r="M25" s="28" t="str">
        <x:v>Yageo / genérico</x:v>
      </x:c>
      <x:c r="N25" s="28" t="str">
        <x:v>Sustitución directa.</x:v>
      </x:c>
      <x:c r="O25" s="28" t="str">
        <x:v>Compatible directo</x:v>
      </x:c>
      <x:c r="P25" s="28" t="str">
        <x:v>Baja</x:v>
      </x:c>
      <x:c r="Q25" s="28" t="str">
        <x:v>Puente de soldadura</x:v>
      </x:c>
      <x:c r="R25" s="28" t="str">
        <x:v>N/A</x:v>
      </x:c>
      <x:c r="S25" s="28" t="str">
        <x:v>N/A</x:v>
      </x:c>
      <x:c r="T25" s="28" t="str">
        <x:v>Solo si el PCB permite soldar puente; no es ideal para producción.</x:v>
      </x:c>
      <x:c r="U25" s="28" t="str">
        <x:v>Compatible con revisión</x:v>
      </x:c>
      <x:c r="V25" s="28" t="str">
        <x:v>https://www.mouser.mx/c/passive-components/resistors/smd-resistors-chip-resistors/?q=0%20ohm%200603</x:v>
      </x:c>
      <x:c r="W25" s="28" t="str">
        <x:v>No reemplazar por otro valor.</x:v>
      </x:c>
    </x:row>
    <x:row r="26" ht="50" customHeight="1">
      <x:c r="A26" s="28" t="n">
        <x:v>22</x:v>
      </x:c>
      <x:c r="B26" s="28" t="str">
        <x:v>Capacitor cerámico SMD 100 nF</x:v>
      </x:c>
      <x:c r="C26" s="28" t="str">
        <x:v>C</x:v>
      </x:c>
      <x:c r="D26" s="28" t="n">
        <x:v>7</x:v>
      </x:c>
      <x:c r="E26" s="28" t="str">
        <x:v>Desacoplo</x:v>
      </x:c>
      <x:c r="F26" s="28" t="str">
        <x:v>0603</x:v>
      </x:c>
      <x:c r="G26" s="28" t="str">
        <x:v>Crítico</x:v>
      </x:c>
      <x:c r="H26" s="28" t="str">
        <x:v>MXN $2.00</x:v>
      </x:c>
      <x:c r="I26" s="28" t="str">
        <x:v>Aelectronics</x:v>
      </x:c>
      <x:c r="J26" s="28" t="str">
        <x:v>https://aelectronics.com.mx/home/2136-capacitor-ceramico-smd-0603-100nf.html</x:v>
      </x:c>
      <x:c r="K26" s="28" t="str">
        <x:v>Capacitor 100 nF 50 V X7R 0603</x:v>
      </x:c>
      <x:c r="L26" s="28" t="str">
        <x:v>0603</x:v>
      </x:c>
      <x:c r="M26" s="28" t="str">
        <x:v>Murata / Samsung / Yageo</x:v>
      </x:c>
      <x:c r="N26" s="28" t="str">
        <x:v>Sustitución directa para desacoplo.</x:v>
      </x:c>
      <x:c r="O26" s="28" t="str">
        <x:v>Compatible directo</x:v>
      </x:c>
      <x:c r="P26" s="28" t="str">
        <x:v>Alta</x:v>
      </x:c>
      <x:c r="Q26" s="28" t="str">
        <x:v>Capacitor 100 nF 25 V X7R 0603</x:v>
      </x:c>
      <x:c r="R26" s="28" t="str">
        <x:v>0603</x:v>
      </x:c>
      <x:c r="S26" s="28" t="str">
        <x:v>genérico</x:v>
      </x:c>
      <x:c r="T26" s="28" t="str">
        <x:v>Aceptable si el voltaje del circuito es bajo.</x:v>
      </x:c>
      <x:c r="U26" s="28" t="str">
        <x:v>Compatible con revisión</x:v>
      </x:c>
      <x:c r="V26" s="28" t="str">
        <x:v>https://www.mouser.mx/c/passive-components/capacitors/ceramic-capacitors/?q=100nF%200603%20X7R</x:v>
      </x:c>
      <x:c r="W26" s="28" t="str">
        <x:v>Colocar cerca de pines VDD.</x:v>
      </x:c>
    </x:row>
    <x:row r="27" ht="50" customHeight="1">
      <x:c r="A27" s="28" t="n">
        <x:v>23</x:v>
      </x:c>
      <x:c r="B27" s="28" t="str">
        <x:v>Capacitor SMD 10 µF / 10 V</x:v>
      </x:c>
      <x:c r="C27" s="28" t="str">
        <x:v>C</x:v>
      </x:c>
      <x:c r="D27" s="28" t="n">
        <x:v>4</x:v>
      </x:c>
      <x:c r="E27" s="28" t="str">
        <x:v>Filtrado de alimentación</x:v>
      </x:c>
      <x:c r="F27" s="28" t="str">
        <x:v>0603</x:v>
      </x:c>
      <x:c r="G27" s="28" t="str">
        <x:v>Crítico</x:v>
      </x:c>
      <x:c r="H27" s="28" t="str">
        <x:v>MXN $4.00</x:v>
      </x:c>
      <x:c r="I27" s="28" t="str">
        <x:v>Aelectronics</x:v>
      </x:c>
      <x:c r="J27" s="28" t="str">
        <x:v>https://aelectronics.com.mx/home/2194-capacitor-ceramico-smd-0603-10uf-10v.html</x:v>
      </x:c>
      <x:c r="K27" s="28" t="str">
        <x:v>Capacitor 10 µF 10 V X5R 0603</x:v>
      </x:c>
      <x:c r="L27" s="28" t="str">
        <x:v>0603</x:v>
      </x:c>
      <x:c r="M27" s="28" t="str">
        <x:v>Murata / Samsung / TDK</x:v>
      </x:c>
      <x:c r="N27" s="28" t="str">
        <x:v>Sustitución directa si respeta voltaje y dieléctrico.</x:v>
      </x:c>
      <x:c r="O27" s="28" t="str">
        <x:v>Compatible directo</x:v>
      </x:c>
      <x:c r="P27" s="28" t="str">
        <x:v>Alta</x:v>
      </x:c>
      <x:c r="Q27" s="28" t="str">
        <x:v>Capacitor 10 µF 16 V X5R 0603</x:v>
      </x:c>
      <x:c r="R27" s="28" t="str">
        <x:v>0603</x:v>
      </x:c>
      <x:c r="S27" s="28" t="str">
        <x:v>genérico</x:v>
      </x:c>
      <x:c r="T27" s="28" t="str">
        <x:v>Mejor margen de voltaje; revisar disponibilidad.</x:v>
      </x:c>
      <x:c r="U27" s="28" t="str">
        <x:v>Compatible directo</x:v>
      </x:c>
      <x:c r="V27" s="28" t="str">
        <x:v>https://www.mouser.mx/c/passive-components/capacitors/ceramic-capacitors/?q=10uF%200603%2010V</x:v>
      </x:c>
      <x:c r="W27" s="28" t="str">
        <x:v>Puede perder capacitancia efectiva con DC bias.</x:v>
      </x:c>
    </x:row>
    <x:row r="28" ht="50" customHeight="1">
      <x:c r="A28" s="28" t="n">
        <x:v>24</x:v>
      </x:c>
      <x:c r="B28" s="28" t="str">
        <x:v>Capacitor cerámico SMD 20 pF</x:v>
      </x:c>
      <x:c r="C28" s="28" t="str">
        <x:v>C</x:v>
      </x:c>
      <x:c r="D28" s="28" t="n">
        <x:v>2</x:v>
      </x:c>
      <x:c r="E28" s="28" t="str">
        <x:v>Carga del cristal</x:v>
      </x:c>
      <x:c r="F28" s="28" t="str">
        <x:v>0603</x:v>
      </x:c>
      <x:c r="G28" s="28" t="str">
        <x:v>Crítico</x:v>
      </x:c>
      <x:c r="H28" s="28" t="str">
        <x:v>MXN $0.50</x:v>
      </x:c>
      <x:c r="I28" s="28" t="str">
        <x:v>Uelectronics</x:v>
      </x:c>
      <x:c r="J28" s="28" t="str">
        <x:v>https://uelectronics.com/producto/capacitor-0603-20pf-50v-cl10c200jb8nnnc/</x:v>
      </x:c>
      <x:c r="K28" s="28" t="str">
        <x:v>Capacitor 20 pF C0G/NP0 0603</x:v>
      </x:c>
      <x:c r="L28" s="28" t="str">
        <x:v>0603</x:v>
      </x:c>
      <x:c r="M28" s="28" t="str">
        <x:v>Murata / Samsung / genérico</x:v>
      </x:c>
      <x:c r="N28" s="28" t="str">
        <x:v>Sustitución directa para cristal.</x:v>
      </x:c>
      <x:c r="O28" s="28" t="str">
        <x:v>Compatible directo</x:v>
      </x:c>
      <x:c r="P28" s="28" t="str">
        <x:v>Alta</x:v>
      </x:c>
      <x:c r="Q28" s="28" t="str">
        <x:v>Capacitor 18 pF C0G/NP0 0603</x:v>
      </x:c>
      <x:c r="R28" s="28" t="str">
        <x:v>0603</x:v>
      </x:c>
      <x:c r="S28" s="28" t="str">
        <x:v>genérico</x:v>
      </x:c>
      <x:c r="T28" s="28" t="str">
        <x:v>Solo si se ajusta a la carga requerida del cristal.</x:v>
      </x:c>
      <x:c r="U28" s="28" t="str">
        <x:v>Compatible con revisión</x:v>
      </x:c>
      <x:c r="V28" s="28" t="str">
        <x:v>https://www.mouser.mx/c/passive-components/capacitors/ceramic-capacitors/?q=20pF%200603%20C0G</x:v>
      </x:c>
      <x:c r="W28" s="28" t="str">
        <x:v>No usar X7R si se requiere estabilidad del oscilador.</x:v>
      </x:c>
    </x:row>
    <x:row r="29" ht="50" customHeight="1">
      <x:c r="A29" s="28" t="n">
        <x:v>25</x:v>
      </x:c>
      <x:c r="B29" s="28" t="str">
        <x:v>Capacitor cerámico SMD 10 nF</x:v>
      </x:c>
      <x:c r="C29" s="28" t="str">
        <x:v>C</x:v>
      </x:c>
      <x:c r="D29" s="28" t="n">
        <x:v>1</x:v>
      </x:c>
      <x:c r="E29" s="28" t="str">
        <x:v>Filtro/estabilidad según BOM</x:v>
      </x:c>
      <x:c r="F29" s="28" t="str">
        <x:v>0603</x:v>
      </x:c>
      <x:c r="G29" s="28" t="str">
        <x:v>Sustituible</x:v>
      </x:c>
      <x:c r="H29" s="28" t="str">
        <x:v>MXN $2.00</x:v>
      </x:c>
      <x:c r="I29" s="28" t="str">
        <x:v>Aelectronics</x:v>
      </x:c>
      <x:c r="J29" s="28" t="str">
        <x:v>https://aelectronics.com.mx/home/2166-capacitor-ceramico-smd-0603-10nf-50v.html</x:v>
      </x:c>
      <x:c r="K29" s="28" t="str">
        <x:v>Capacitor 10 nF 50 V X7R 0603</x:v>
      </x:c>
      <x:c r="L29" s="28" t="str">
        <x:v>0603</x:v>
      </x:c>
      <x:c r="M29" s="28" t="str">
        <x:v>Murata / Samsung / Yageo</x:v>
      </x:c>
      <x:c r="N29" s="28" t="str">
        <x:v>Sustitución directa.</x:v>
      </x:c>
      <x:c r="O29" s="28" t="str">
        <x:v>Compatible directo</x:v>
      </x:c>
      <x:c r="P29" s="28" t="str">
        <x:v>Baja</x:v>
      </x:c>
      <x:c r="Q29" s="28" t="str">
        <x:v>Capacitor 10 nF 25 V X7R 0603</x:v>
      </x:c>
      <x:c r="R29" s="28" t="str">
        <x:v>0603</x:v>
      </x:c>
      <x:c r="S29" s="28" t="str">
        <x:v>genérico</x:v>
      </x:c>
      <x:c r="T29" s="28" t="str">
        <x:v>Aceptable en señales de baja tensión.</x:v>
      </x:c>
      <x:c r="U29" s="28" t="str">
        <x:v>Compatible con revisión</x:v>
      </x:c>
      <x:c r="V29" s="28" t="str">
        <x:v>https://www.mouser.mx/c/passive-components/capacitors/ceramic-capacitors/?q=10nF%200603</x:v>
      </x:c>
      <x:c r="W29" s="28" t="str">
        <x:v>Verificar tensión de trabajo.</x:v>
      </x:c>
    </x:row>
  </x:sheetData>
  <x:mergeCells>
    <x:mergeCell ref="A1:W1"/>
    <x:mergeCell ref="A2:W2"/>
  </x:mergeCells>
  <x:conditionalFormatting sqref="G5:G29">
    <x:cfRule type="expression" dxfId="0" priority="1">
      <x:formula>G5="Crítico"</x:formula>
    </x:cfRule>
    <x:cfRule type="expression" dxfId="1" priority="2">
      <x:formula>G5="Importante"</x:formula>
    </x:cfRule>
    <x:cfRule type="expression" dxfId="2" priority="3">
      <x:formula>G5="Sustituible"</x:formula>
    </x:cfRule>
  </x:conditionalFormatting>
  <x:conditionalFormatting sqref="O5:O29">
    <x:cfRule type="expression" dxfId="3" priority="4">
      <x:formula>O5="Compatible directo"</x:formula>
    </x:cfRule>
    <x:cfRule type="expression" dxfId="4" priority="5">
      <x:formula>O5="Compatible con revisión"</x:formula>
    </x:cfRule>
    <x:cfRule type="expression" dxfId="5" priority="6">
      <x:formula>O5="No recomendado sin cambio PCB"</x:formula>
    </x:cfRule>
  </x:conditionalFormatting>
  <x:conditionalFormatting sqref="P5:P29">
    <x:cfRule type="expression" dxfId="6" priority="7">
      <x:formula>P5="Alta"</x:formula>
    </x:cfRule>
    <x:cfRule type="expression" dxfId="7" priority="8">
      <x:formula>P5="Media"</x:formula>
    </x:cfRule>
    <x:cfRule type="expression" dxfId="8" priority="9">
      <x:formula>P5="Baja"</x:formula>
    </x:cfRule>
  </x:conditionalFormatting>
  <x:dataValidations count="4">
    <x:dataValidation type="list" sqref="G5:G29">
      <x:formula1>"Crítico,Importante,Sustituible,Opcional"</x:formula1>
    </x:dataValidation>
    <x:dataValidation type="list" sqref="O5:O29">
      <x:formula1>"Compatible directo,Compatible con revisión,No recomendado sin cambio PCB"</x:formula1>
    </x:dataValidation>
    <x:dataValidation type="list" sqref="P5:P29">
      <x:formula1>"Alta,Media,Baja"</x:formula1>
    </x:dataValidation>
    <x:dataValidation type="list" sqref="U5:U29">
      <x:formula1>"Compatible directo,Compatible con revisión,No recomendado sin cambio PCB,Pendiente"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e29a5be68441a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5" t="str">
        <x:v>Criterios de compatibilidad usados en la matriz</x:v>
      </x:c>
    </x:row>
    <x:row r="3">
      <x:c r="A3" s="22" t="str">
        <x:v>Criterio</x:v>
      </x:c>
      <x:c r="B3" s="22" t="str">
        <x:v>Aplicación</x:v>
      </x:c>
      <x:c r="C3" s="22" t="str">
        <x:v>Qué revisar</x:v>
      </x:c>
      <x:c r="D3" s="22" t="str">
        <x:v>Riesgo si no se revisa</x:v>
      </x:c>
      <x:c r="E3" s="22" t="str">
        <x:v>Estatus recomendado</x:v>
      </x:c>
      <x:c r="F3" s="22" t="str">
        <x:v>Comentario</x:v>
      </x:c>
    </x:row>
    <x:row r="4">
      <x:c r="A4" s="28" t="str">
        <x:v>Encapsulado / footprint</x:v>
      </x:c>
      <x:c r="B4" s="28" t="str">
        <x:v>Todos los SMD y conectores</x:v>
      </x:c>
      <x:c r="C4" s="28" t="str">
        <x:v>Medidas, pads, orientación y altura</x:v>
      </x:c>
      <x:c r="D4" s="28" t="str">
        <x:v>La pieza no entra o no puede soldarse</x:v>
      </x:c>
      <x:c r="E4" s="28" t="str">
        <x:v>Obligatorio</x:v>
      </x:c>
      <x:c r="F4" s="28" t="str">
        <x:v>Prioridad en USB, reguladores y microcontrolador.</x:v>
      </x:c>
    </x:row>
    <x:row r="5">
      <x:c r="A5" s="28" t="str">
        <x:v>Pinout</x:v>
      </x:c>
      <x:c r="B5" s="28" t="str">
        <x:v>Microcontrolador, diodos, reguladores, USB</x:v>
      </x:c>
      <x:c r="C5" s="28" t="str">
        <x:v>Orden de pines y función eléctrica</x:v>
      </x:c>
      <x:c r="D5" s="28" t="str">
        <x:v>Corto, falla o inversión de señales</x:v>
      </x:c>
      <x:c r="E5" s="28" t="str">
        <x:v>Obligatorio</x:v>
      </x:c>
      <x:c r="F5" s="28" t="str">
        <x:v>No basta que el nombre sea similar.</x:v>
      </x:c>
    </x:row>
    <x:row r="6">
      <x:c r="A6" s="28" t="str">
        <x:v>Valor eléctrico</x:v>
      </x:c>
      <x:c r="B6" s="28" t="str">
        <x:v>Resistencias, capacitores, cristal</x:v>
      </x:c>
      <x:c r="C6" s="28" t="str">
        <x:v>Ohms, farads, tolerancia, tensión y frecuencia</x:v>
      </x:c>
      <x:c r="D6" s="28" t="str">
        <x:v>Funcionamiento inestable</x:v>
      </x:c>
      <x:c r="E6" s="28" t="str">
        <x:v>Obligatorio</x:v>
      </x:c>
      <x:c r="F6" s="28" t="str">
        <x:v>En cristal y capacitores de carga evitar cambios sin cálculo.</x:v>
      </x:c>
    </x:row>
    <x:row r="7">
      <x:c r="A7" s="28" t="str">
        <x:v>Corriente y voltaje</x:v>
      </x:c>
      <x:c r="B7" s="28" t="str">
        <x:v>Reguladores, diodos, conectores</x:v>
      </x:c>
      <x:c r="C7" s="28" t="str">
        <x:v>Máximo voltaje y corriente admisible</x:v>
      </x:c>
      <x:c r="D7" s="28" t="str">
        <x:v>Sobrecalentamiento o daño</x:v>
      </x:c>
      <x:c r="E7" s="28" t="str">
        <x:v>Obligatorio</x:v>
      </x:c>
      <x:c r="F7" s="28" t="str">
        <x:v>Mantener margen de seguridad.</x:v>
      </x:c>
    </x:row>
    <x:row r="8">
      <x:c r="A8" s="28" t="str">
        <x:v>Disponibilidad</x:v>
      </x:c>
      <x:c r="B8" s="28" t="str">
        <x:v>Todos</x:v>
      </x:c>
      <x:c r="C8" s="28" t="str">
        <x:v>Stock, tiempo de entrega, paquete mínimo</x:v>
      </x:c>
      <x:c r="D8" s="28" t="str">
        <x:v>Retraso del proyecto</x:v>
      </x:c>
      <x:c r="E8" s="28" t="str">
        <x:v>Deseable</x:v>
      </x:c>
      <x:c r="F8" s="28" t="str">
        <x:v>Preferir proveedores con evidencia de precio.</x:v>
      </x:c>
    </x:row>
    <x:row r="9">
      <x:c r="A9" s="28" t="str">
        <x:v>Precio</x:v>
      </x:c>
      <x:c r="B9" s="28" t="str">
        <x:v>Todos</x:v>
      </x:c>
      <x:c r="C9" s="28" t="str">
        <x:v>Costo unitario y costo por lote</x:v>
      </x:c>
      <x:c r="D9" s="28" t="str">
        <x:v>Aumento del presupuesto</x:v>
      </x:c>
      <x:c r="E9" s="28" t="str">
        <x:v>Deseable</x:v>
      </x:c>
      <x:c r="F9" s="28" t="str">
        <x:v>Actualizar antes de comprar.</x:v>
      </x:c>
    </x:row>
    <x:row r="10">
      <x:c r="A10" s="28" t="str">
        <x:v>Firmware/bootloader</x:v>
      </x:c>
      <x:c r="B10" s="28" t="str">
        <x:v>PIC32MX2xx</x:v>
      </x:c>
      <x:c r="C10" s="28" t="str">
        <x:v>Soporte en Pinguino IDE, USB y configuración</x:v>
      </x:c>
      <x:c r="D10" s="28" t="str">
        <x:v>La tarjeta no programa por USB</x:v>
      </x:c>
      <x:c r="E10" s="28" t="str">
        <x:v>Obligatorio si cambia MCU</x:v>
      </x:c>
      <x:c r="F10" s="28" t="str">
        <x:v>Cambiar de PIC puede requerir bootloader distinto.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14a20d6324c470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8" hidden="0" customWidth="1"/>
    <x:col min="4" max="4" width="22" hidden="0" customWidth="1"/>
    <x:col min="5" max="5" width="60" hidden="0" customWidth="1"/>
    <x:col min="6" max="6" width="34" hidden="0" customWidth="1"/>
  </x:cols>
  <x:sheetData>
    <x:row r="1">
      <x:c r="A1" s="5" t="str">
        <x:v>Fuentes y enlaces de consulta</x:v>
      </x:c>
    </x:row>
    <x:row r="3">
      <x:c r="A3" s="22" t="str">
        <x:v>No.</x:v>
      </x:c>
      <x:c r="B3" s="22" t="str">
        <x:v>Tipo</x:v>
      </x:c>
      <x:c r="C3" s="22" t="str">
        <x:v>Descripción</x:v>
      </x:c>
      <x:c r="D3" s="22" t="str">
        <x:v>Proveedor / fuente</x:v>
      </x:c>
      <x:c r="E3" s="22" t="str">
        <x:v>URL</x:v>
      </x:c>
      <x:c r="F3" s="22" t="str">
        <x:v>Nota</x:v>
      </x:c>
    </x:row>
    <x:row r="4">
      <x:c r="A4" s="28" t="n">
        <x:v>1</x:v>
      </x:c>
      <x:c r="B4" s="28" t="str">
        <x:v>BOM original</x:v>
      </x:c>
      <x:c r="C4" s="28" t="str">
        <x:v>PIC32MX220F032D-I/PT</x:v>
      </x:c>
      <x:c r="D4" s="28" t="str">
        <x:v>Mouser</x:v>
      </x:c>
      <x:c r="E4" s="28" t="str">
        <x:v>https://www.mouser.mx/ProductDetail/Microchip-Technology/PIC32MX220F032D-I-PT?qs=YqCKdUdj4g1WcFz57CpzjQ%3D%3D</x:v>
      </x:c>
      <x:c r="F4" s="28" t="str">
        <x:v>Fuente tomada de la lista de materiales proporcionada.</x:v>
      </x:c>
    </x:row>
    <x:row r="5">
      <x:c r="A5" s="28" t="n">
        <x:v>2</x:v>
      </x:c>
      <x:c r="B5" s="28" t="str">
        <x:v>BOM original</x:v>
      </x:c>
      <x:c r="C5" s="28" t="str">
        <x:v>Conector USB Mini-B SMD USB-MINI</x:v>
      </x:c>
      <x:c r="D5" s="28" t="str">
        <x:v>SparkFun</x:v>
      </x:c>
      <x:c r="E5" s="28" t="str">
        <x:v>https://www.sparkfun.com/products/587</x:v>
      </x:c>
      <x:c r="F5" s="28" t="str">
        <x:v>Fuente tomada de la lista de materiales proporcionada.</x:v>
      </x:c>
    </x:row>
    <x:row r="6">
      <x:c r="A6" s="28" t="n">
        <x:v>3</x:v>
      </x:c>
      <x:c r="B6" s="28" t="str">
        <x:v>BOM original</x:v>
      </x:c>
      <x:c r="C6" s="28" t="str">
        <x:v>Conector batería Li-Po 3.7 V 2 pines DW02R</x:v>
      </x:c>
      <x:c r="D6" s="28" t="str">
        <x:v>INTESC</x:v>
      </x:c>
      <x:c r="E6" s="28" t="str">
        <x:v>https://intesc.mx/productos/conector-macho-tipo-jst-de-2-pines/</x:v>
      </x:c>
      <x:c r="F6" s="28" t="str">
        <x:v>Fuente tomada de la lista de materiales proporcionada.</x:v>
      </x:c>
    </x:row>
    <x:row r="7">
      <x:c r="A7" s="28" t="n">
        <x:v>4</x:v>
      </x:c>
      <x:c r="B7" s="28" t="str">
        <x:v>BOM original</x:v>
      </x:c>
      <x:c r="C7" s="28" t="str">
        <x:v>Jack alimentación 5 VDC YDJ-1136</x:v>
      </x:c>
      <x:c r="D7" s="28" t="str">
        <x:v>Idea Electrónica</x:v>
      </x:c>
      <x:c r="E7" s="28" t="str">
        <x:v>https://www.ideaelectronica.mx/conectores-de-energia/4293-705-571-conector-de-barril-dc-para-pcb.html</x:v>
      </x:c>
      <x:c r="F7" s="28" t="str">
        <x:v>Fuente tomada de la lista de materiales proporcionada.</x:v>
      </x:c>
    </x:row>
    <x:row r="8">
      <x:c r="A8" s="28" t="n">
        <x:v>5</x:v>
      </x:c>
      <x:c r="B8" s="28" t="str">
        <x:v>BOM original</x:v>
      </x:c>
      <x:c r="C8" s="28" t="str">
        <x:v>BAT54C Schottky doble cátodo común</x:v>
      </x:c>
      <x:c r="D8" s="28" t="str">
        <x:v>Teknomovo</x:v>
      </x:c>
      <x:c r="E8" s="28" t="str">
        <x:v>https://teknomovo.com.mx/producto/diodo-doble-de-pequena-senal-schottky-catodo-comun-200-ma-30-v-voltaje-en-directo-muy-bajo-alta-frecuencia-smd/</x:v>
      </x:c>
      <x:c r="F8" s="28" t="str">
        <x:v>Fuente tomada de la lista de materiales proporcionada.</x:v>
      </x:c>
    </x:row>
    <x:row r="9">
      <x:c r="A9" s="28" t="n">
        <x:v>6</x:v>
      </x:c>
      <x:c r="B9" s="28" t="str">
        <x:v>BOM original</x:v>
      </x:c>
      <x:c r="C9" s="28" t="str">
        <x:v>MCP1700T-3302E/MB LDO 3.3 V</x:v>
      </x:c>
      <x:c r="D9" s="28" t="str">
        <x:v>LCSC</x:v>
      </x:c>
      <x:c r="E9" s="28" t="str">
        <x:v>https://www.lcsc.com/product-detail/C632000.html</x:v>
      </x:c>
      <x:c r="F9" s="28" t="str">
        <x:v>Fuente tomada de la lista de materiales proporcionada.</x:v>
      </x:c>
    </x:row>
    <x:row r="10">
      <x:c r="A10" s="28" t="n">
        <x:v>7</x:v>
      </x:c>
      <x:c r="B10" s="28" t="str">
        <x:v>BOM original</x:v>
      </x:c>
      <x:c r="C10" s="28" t="str">
        <x:v>LM1117IMPX-ADJ regulador ajustable</x:v>
      </x:c>
      <x:c r="D10" s="28" t="str">
        <x:v>Mouser</x:v>
      </x:c>
      <x:c r="E10" s="28" t="str">
        <x:v>https://www.mouser.com/ProductDetail/Texas-Instruments/LM1117IMPX-ADJ-NOPB?qs=X1J7HmVL2ZH7x9eSBiUHaQ%3D%3D</x:v>
      </x:c>
      <x:c r="F10" s="28" t="str">
        <x:v>Fuente tomada de la lista de materiales proporcionada.</x:v>
      </x:c>
    </x:row>
    <x:row r="11">
      <x:c r="A11" s="28" t="n">
        <x:v>8</x:v>
      </x:c>
      <x:c r="B11" s="28" t="str">
        <x:v>BOM original</x:v>
      </x:c>
      <x:c r="C11" s="28" t="str">
        <x:v>Cristal 8.000 MHz HC-49SM SMD 20 pF 20 ppm</x:v>
      </x:c>
      <x:c r="D11" s="28" t="str">
        <x:v>INTESC</x:v>
      </x:c>
      <x:c r="E11" s="28" t="str">
        <x:v>https://intesc.mx/productos/oscilador-de-8mhz-smd/</x:v>
      </x:c>
      <x:c r="F11" s="28" t="str">
        <x:v>Fuente tomada de la lista de materiales proporcionada.</x:v>
      </x:c>
    </x:row>
    <x:row r="12">
      <x:c r="A12" s="28" t="n">
        <x:v>9</x:v>
      </x:c>
      <x:c r="B12" s="28" t="str">
        <x:v>BOM original</x:v>
      </x:c>
      <x:c r="C12" s="28" t="str">
        <x:v>LED verde SMD 0603</x:v>
      </x:c>
      <x:c r="D12" s="28" t="str">
        <x:v>Aelectronics</x:v>
      </x:c>
      <x:c r="E12" s="28" t="str">
        <x:v>https://aelectronics.com.mx/home/2580-led-smd-0603-verde.html</x:v>
      </x:c>
      <x:c r="F12" s="28" t="str">
        <x:v>Fuente tomada de la lista de materiales proporcionada.</x:v>
      </x:c>
    </x:row>
    <x:row r="13">
      <x:c r="A13" s="28" t="n">
        <x:v>10</x:v>
      </x:c>
      <x:c r="B13" s="28" t="str">
        <x:v>BOM original</x:v>
      </x:c>
      <x:c r="C13" s="28" t="str">
        <x:v>LED rojo SMD 0603</x:v>
      </x:c>
      <x:c r="D13" s="28" t="str">
        <x:v>Uelectronics</x:v>
      </x:c>
      <x:c r="E13" s="28" t="str">
        <x:v>https://uelectronics.com/producto/ncd0603r1-led-rojo-smd-0603/</x:v>
      </x:c>
      <x:c r="F13" s="28" t="str">
        <x:v>Fuente tomada de la lista de materiales proporcionada.</x:v>
      </x:c>
    </x:row>
    <x:row r="14">
      <x:c r="A14" s="28" t="n">
        <x:v>11</x:v>
      </x:c>
      <x:c r="B14" s="28" t="str">
        <x:v>BOM original</x:v>
      </x:c>
      <x:c r="C14" s="28" t="str">
        <x:v>Pulsador táctil SMD T1107A 6 x 3.8 x 2.5 mm</x:v>
      </x:c>
      <x:c r="D14" s="28" t="str">
        <x:v>SIEEG</x:v>
      </x:c>
      <x:c r="E14" s="28" t="str">
        <x:v>https://sieeg.com.mx/producto/switch-interruptor-smd-3x6x3-8mm/</x:v>
      </x:c>
      <x:c r="F14" s="28" t="str">
        <x:v>Fuente tomada de la lista de materiales proporcionada.</x:v>
      </x:c>
    </x:row>
    <x:row r="15">
      <x:c r="A15" s="28" t="n">
        <x:v>12</x:v>
      </x:c>
      <x:c r="B15" s="28" t="str">
        <x:v>BOM original</x:v>
      </x:c>
      <x:c r="C15" s="28" t="str">
        <x:v>Conector UEXT BH10R 10 pines</x:v>
      </x:c>
      <x:c r="D15" s="28" t="str">
        <x:v>Idea Electrónica</x:v>
      </x:c>
      <x:c r="E15" s="28" t="str">
        <x:v>https://www.ideaelectronica.mx/conectores-de-energia/3895-fcn-2x5-conector-macho-10-pin-para-cable-plano.html</x:v>
      </x:c>
      <x:c r="F15" s="28" t="str">
        <x:v>Fuente tomada de la lista de materiales proporcionada.</x:v>
      </x:c>
    </x:row>
    <x:row r="16">
      <x:c r="A16" s="28" t="n">
        <x:v>13</x:v>
      </x:c>
      <x:c r="B16" s="28" t="str">
        <x:v>BOM original</x:v>
      </x:c>
      <x:c r="C16" s="28" t="str">
        <x:v>Header ICSP WF6S 6 pines</x:v>
      </x:c>
      <x:c r="D16" s="28" t="str">
        <x:v>INTESC</x:v>
      </x:c>
      <x:c r="E16" s="28" t="str">
        <x:v>https://intesc.mx/productos/tira-de-40-pines-macho-de-2-54mm/</x:v>
      </x:c>
      <x:c r="F16" s="28" t="str">
        <x:v>Fuente tomada de la lista de materiales proporcionada.</x:v>
      </x:c>
    </x:row>
    <x:row r="17">
      <x:c r="A17" s="28" t="n">
        <x:v>14</x:v>
      </x:c>
      <x:c r="B17" s="28" t="str">
        <x:v>BOM original</x:v>
      </x:c>
      <x:c r="C17" s="28" t="str">
        <x:v>Juego de headers Arduino 2 x PN1x8 + 2 x PN1x6</x:v>
      </x:c>
      <x:c r="D17" s="28" t="str">
        <x:v>Rantec</x:v>
      </x:c>
      <x:c r="E17" s="28" t="str">
        <x:v>https://rantec.mx/tienda/tiras-de-header-hembra-de-40-dupont-2-54mm/</x:v>
      </x:c>
      <x:c r="F17" s="28" t="str">
        <x:v>Fuente tomada de la lista de materiales proporcionada.</x:v>
      </x:c>
    </x:row>
    <x:row r="18">
      <x:c r="A18" s="28" t="n">
        <x:v>15</x:v>
      </x:c>
      <x:c r="B18" s="28" t="str">
        <x:v>BOM original</x:v>
      </x:c>
      <x:c r="C18" s="28" t="str">
        <x:v>Resistencia SMD 240 Ω 1%</x:v>
      </x:c>
      <x:c r="D18" s="28" t="str">
        <x:v>INTESC</x:v>
      </x:c>
      <x:c r="E18" s="28" t="str">
        <x:v>https://intesc.mx/productos/resistencia-de-240-ohm-1-0603/</x:v>
      </x:c>
      <x:c r="F18" s="28" t="str">
        <x:v>Fuente tomada de la lista de materiales proporcionada.</x:v>
      </x:c>
    </x:row>
    <x:row r="19">
      <x:c r="A19" s="28" t="n">
        <x:v>16</x:v>
      </x:c>
      <x:c r="B19" s="28" t="str">
        <x:v>BOM original</x:v>
      </x:c>
      <x:c r="C19" s="28" t="str">
        <x:v>Resistencia SMD 390 Ω 1%</x:v>
      </x:c>
      <x:c r="D19" s="28" t="str">
        <x:v>INTESC</x:v>
      </x:c>
      <x:c r="E19" s="28" t="str">
        <x:v>https://intesc.mx/productos/resistencia-de-390-ohm-1-0603/</x:v>
      </x:c>
      <x:c r="F19" s="28" t="str">
        <x:v>Fuente tomada de la lista de materiales proporcionada.</x:v>
      </x:c>
    </x:row>
    <x:row r="20">
      <x:c r="A20" s="28" t="n">
        <x:v>17</x:v>
      </x:c>
      <x:c r="B20" s="28" t="str">
        <x:v>BOM original</x:v>
      </x:c>
      <x:c r="C20" s="28" t="str">
        <x:v>Resistencia SMD 2 kΩ</x:v>
      </x:c>
      <x:c r="D20" s="28" t="str">
        <x:v>INTESC</x:v>
      </x:c>
      <x:c r="E20" s="28" t="str">
        <x:v>https://intesc.mx/productos/resistencia-de-2k-ohm-1-0603/</x:v>
      </x:c>
      <x:c r="F20" s="28" t="str">
        <x:v>Fuente tomada de la lista de materiales proporcionada.</x:v>
      </x:c>
    </x:row>
    <x:row r="21">
      <x:c r="A21" s="28" t="n">
        <x:v>18</x:v>
      </x:c>
      <x:c r="B21" s="28" t="str">
        <x:v>BOM original</x:v>
      </x:c>
      <x:c r="C21" s="28" t="str">
        <x:v>Resistencia SMD 4.7 kΩ</x:v>
      </x:c>
      <x:c r="D21" s="28" t="str">
        <x:v>INTESC</x:v>
      </x:c>
      <x:c r="E21" s="28" t="str">
        <x:v>https://intesc.mx/productos/resistencia-de-4-7k-ohm-1-0603/</x:v>
      </x:c>
      <x:c r="F21" s="28" t="str">
        <x:v>Fuente tomada de la lista de materiales proporcionada.</x:v>
      </x:c>
    </x:row>
    <x:row r="22">
      <x:c r="A22" s="28" t="n">
        <x:v>19</x:v>
      </x:c>
      <x:c r="B22" s="28" t="str">
        <x:v>BOM original</x:v>
      </x:c>
      <x:c r="C22" s="28" t="str">
        <x:v>Resistencia SMD 4.7 kΩ opcional/NA</x:v>
      </x:c>
      <x:c r="D22" s="28" t="str">
        <x:v>INTESC</x:v>
      </x:c>
      <x:c r="E22" s="28" t="str">
        <x:v>https://intesc.mx/productos/resistencia-de-4-7k-ohm-1-0603/</x:v>
      </x:c>
      <x:c r="F22" s="28" t="str">
        <x:v>Fuente tomada de la lista de materiales proporcionada.</x:v>
      </x:c>
    </x:row>
    <x:row r="23">
      <x:c r="A23" s="28" t="n">
        <x:v>20</x:v>
      </x:c>
      <x:c r="B23" s="28" t="str">
        <x:v>BOM original</x:v>
      </x:c>
      <x:c r="C23" s="28" t="str">
        <x:v>Resistencia SMD 33 kΩ</x:v>
      </x:c>
      <x:c r="D23" s="28" t="str">
        <x:v>INTESC</x:v>
      </x:c>
      <x:c r="E23" s="28" t="str">
        <x:v>https://intesc.mx/productos/resistencia-de-33k-ohm-1-0603/</x:v>
      </x:c>
      <x:c r="F23" s="28" t="str">
        <x:v>Fuente tomada de la lista de materiales proporcionada.</x:v>
      </x:c>
    </x:row>
    <x:row r="24">
      <x:c r="A24" s="28" t="n">
        <x:v>21</x:v>
      </x:c>
      <x:c r="B24" s="28" t="str">
        <x:v>BOM original</x:v>
      </x:c>
      <x:c r="C24" s="28" t="str">
        <x:v>Resistencia SMD 0 Ω / jumper</x:v>
      </x:c>
      <x:c r="D24" s="28" t="str">
        <x:v>INTESC</x:v>
      </x:c>
      <x:c r="E24" s="28" t="str">
        <x:v>https://intesc.mx/productos/resistencia-de-4-7k-ohm-1-0603/</x:v>
      </x:c>
      <x:c r="F24" s="28" t="str">
        <x:v>Fuente tomada de la lista de materiales proporcionada.</x:v>
      </x:c>
    </x:row>
    <x:row r="25">
      <x:c r="A25" s="28" t="n">
        <x:v>22</x:v>
      </x:c>
      <x:c r="B25" s="28" t="str">
        <x:v>BOM original</x:v>
      </x:c>
      <x:c r="C25" s="28" t="str">
        <x:v>Capacitor cerámico SMD 100 nF</x:v>
      </x:c>
      <x:c r="D25" s="28" t="str">
        <x:v>Aelectronics</x:v>
      </x:c>
      <x:c r="E25" s="28" t="str">
        <x:v>https://aelectronics.com.mx/home/2136-capacitor-ceramico-smd-0603-100nf.html</x:v>
      </x:c>
      <x:c r="F25" s="28" t="str">
        <x:v>Fuente tomada de la lista de materiales proporcionada.</x:v>
      </x:c>
    </x:row>
    <x:row r="26">
      <x:c r="A26" s="28" t="n">
        <x:v>23</x:v>
      </x:c>
      <x:c r="B26" s="28" t="str">
        <x:v>BOM original</x:v>
      </x:c>
      <x:c r="C26" s="28" t="str">
        <x:v>Capacitor SMD 10 µF / 10 V</x:v>
      </x:c>
      <x:c r="D26" s="28" t="str">
        <x:v>Aelectronics</x:v>
      </x:c>
      <x:c r="E26" s="28" t="str">
        <x:v>https://aelectronics.com.mx/home/2194-capacitor-ceramico-smd-0603-10uf-10v.html</x:v>
      </x:c>
      <x:c r="F26" s="28" t="str">
        <x:v>Fuente tomada de la lista de materiales proporcionada.</x:v>
      </x:c>
    </x:row>
    <x:row r="27">
      <x:c r="A27" s="28" t="n">
        <x:v>24</x:v>
      </x:c>
      <x:c r="B27" s="28" t="str">
        <x:v>BOM original</x:v>
      </x:c>
      <x:c r="C27" s="28" t="str">
        <x:v>Capacitor cerámico SMD 20 pF</x:v>
      </x:c>
      <x:c r="D27" s="28" t="str">
        <x:v>Uelectronics</x:v>
      </x:c>
      <x:c r="E27" s="28" t="str">
        <x:v>https://uelectronics.com/producto/capacitor-0603-20pf-50v-cl10c200jb8nnnc/</x:v>
      </x:c>
      <x:c r="F27" s="28" t="str">
        <x:v>Fuente tomada de la lista de materiales proporcionada.</x:v>
      </x:c>
    </x:row>
    <x:row r="28">
      <x:c r="A28" s="28" t="n">
        <x:v>25</x:v>
      </x:c>
      <x:c r="B28" s="28" t="str">
        <x:v>BOM original</x:v>
      </x:c>
      <x:c r="C28" s="28" t="str">
        <x:v>Capacitor cerámico SMD 10 nF</x:v>
      </x:c>
      <x:c r="D28" s="28" t="str">
        <x:v>Aelectronics</x:v>
      </x:c>
      <x:c r="E28" s="28" t="str">
        <x:v>https://aelectronics.com.mx/home/2166-capacitor-ceramico-smd-0603-10nf-50v.html</x:v>
      </x:c>
      <x:c r="F28" s="28" t="str">
        <x:v>Fuente tomada de la lista de materiales proporcionada.</x:v>
      </x:c>
    </x:row>
    <x:row r="29">
      <x:c r="A29" s="28" t="n">
        <x:v>26</x:v>
      </x:c>
      <x:c r="B29" s="28" t="str">
        <x:v>Búsqueda sustitutos</x:v>
      </x:c>
      <x:c r="C29" s="28" t="str">
        <x:v>Microcontrolador PIC32MX250F128D-I/PT</x:v>
      </x:c>
      <x:c r="D29" s="28" t="str">
        <x:v>Mouser</x:v>
      </x:c>
      <x:c r="E29" s="28" t="str">
        <x:v>https://www.mouser.mx/c/?q=PIC32MX250F128D-I%2FPT</x:v>
      </x:c>
      <x:c r="F29" s="28" t="str">
        <x:v>Validar disponibilidad y bootloader.</x:v>
      </x:c>
    </x:row>
    <x:row r="30">
      <x:c r="A30" s="28" t="n">
        <x:v>27</x:v>
      </x:c>
      <x:c r="B30" s="28" t="str">
        <x:v>Búsqueda sustitutos</x:v>
      </x:c>
      <x:c r="C30" s="28" t="str">
        <x:v>PIC32MX2xxD TQFP-44</x:v>
      </x:c>
      <x:c r="D30" s="28" t="str">
        <x:v>DigiKey / Mouser</x:v>
      </x:c>
      <x:c r="E30" s="28" t="str">
        <x:v>https://www.digikey.com.mx/es/products/filter/microcontrollers/685</x:v>
      </x:c>
      <x:c r="F30" s="28" t="str">
        <x:v>Filtrar por Microchip, TQFP-44 y memoria requerida.</x:v>
      </x:c>
    </x:row>
    <x:row r="31">
      <x:c r="A31" s="28" t="n">
        <x:v>28</x:v>
      </x:c>
      <x:c r="B31" s="28" t="str">
        <x:v>Búsqueda sustitutos</x:v>
      </x:c>
      <x:c r="C31" s="28" t="str">
        <x:v>Pasivos SMD 0603</x:v>
      </x:c>
      <x:c r="D31" s="28" t="str">
        <x:v>Mouser</x:v>
      </x:c>
      <x:c r="E31" s="28" t="str">
        <x:v>https://www.mouser.mx/c/passive-components/</x:v>
      </x:c>
      <x:c r="F31" s="28" t="str">
        <x:v>Confirmar valor, tolerancia y empaque.</x:v>
      </x:c>
    </x:row>
    <x:row r="32">
      <x:c r="A32" s="28" t="n">
        <x:v>29</x:v>
      </x:c>
      <x:c r="B32" s="28" t="str">
        <x:v>Búsqueda sustitutos</x:v>
      </x:c>
      <x:c r="C32" s="28" t="str">
        <x:v>Conectores</x:v>
      </x:c>
      <x:c r="D32" s="28" t="str">
        <x:v>Mouser</x:v>
      </x:c>
      <x:c r="E32" s="28" t="str">
        <x:v>https://www.mouser.mx/c/connectors/</x:v>
      </x:c>
      <x:c r="F32" s="28" t="str">
        <x:v>Confirmar huella mecánica.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1d2f391ce3a461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5" t="str">
        <x:v>Historial de cambios</x:v>
      </x:c>
    </x:row>
    <x:row r="3">
      <x:c r="A3" s="22" t="str">
        <x:v>Fecha</x:v>
      </x:c>
      <x:c r="B3" s="22" t="str">
        <x:v>Versión</x:v>
      </x:c>
      <x:c r="C3" s="22" t="str">
        <x:v>Cambio</x:v>
      </x:c>
      <x:c r="D3" s="22" t="str">
        <x:v>Responsable</x:v>
      </x:c>
      <x:c r="E3" s="22" t="str">
        <x:v>Archivo base</x:v>
      </x:c>
      <x:c r="F3" s="22" t="str">
        <x:v>Observaciones</x:v>
      </x:c>
    </x:row>
    <x:row r="4">
      <x:c r="A4" s="28" t="str">
        <x:v>2026-06-20</x:v>
      </x:c>
      <x:c r="B4" s="28" t="str">
        <x:v>1.0</x:v>
      </x:c>
      <x:c r="C4" s="28" t="str">
        <x:v>Creación de matriz de sustitutos a partir de BOM del proyecto.</x:v>
      </x:c>
      <x:c r="D4" s="28" t="str">
        <x:v>Costos/organización</x:v>
      </x:c>
      <x:c r="E4" s="28" t="str">
        <x:v>tabla_materiales_pic32_pinguino</x:v>
      </x:c>
      <x:c r="F4" s="28" t="str">
        <x:v>Se dejaron enlaces de compra/búsqueda para justificar alternativas.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db561fbd97b4135"/>
  </x:tableParts>
</x:worksheet>
</file>