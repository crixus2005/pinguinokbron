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rist\Desktop\pinguinokbron\pinguinokbron\cristian\"/>
    </mc:Choice>
  </mc:AlternateContent>
  <xr:revisionPtr revIDLastSave="0" documentId="8_{1203BFC9-6AA8-4898-9F0F-483A0A25A3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tización PCB" sheetId="1" r:id="rId1"/>
    <sheet name="Resumen" sheetId="2" r:id="rId2"/>
    <sheet name="Catálogo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" l="1"/>
  <c r="E7" i="2"/>
  <c r="E6" i="2"/>
  <c r="H17" i="1"/>
  <c r="J15" i="1"/>
  <c r="K15" i="1" s="1"/>
  <c r="J14" i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D17" i="1" l="1"/>
  <c r="B17" i="1"/>
  <c r="E4" i="2"/>
  <c r="K14" i="1"/>
  <c r="E5" i="2" s="1"/>
  <c r="F17" i="1" l="1"/>
</calcChain>
</file>

<file path=xl/sharedStrings.xml><?xml version="1.0" encoding="utf-8"?>
<sst xmlns="http://schemas.openxmlformats.org/spreadsheetml/2006/main" count="113" uniqueCount="94">
  <si>
    <t>COTIZACIÓN DE FABRICACIÓN DE PCB — TARJETA PINGÜINO 32 BITS</t>
  </si>
  <si>
    <t>Proyecto</t>
  </si>
  <si>
    <t>Tarjeta Pingüino de 32 bits basada en PIC32</t>
  </si>
  <si>
    <t>Supuestos para valores predeterminados</t>
  </si>
  <si>
    <t>USD/MXN</t>
  </si>
  <si>
    <t>EUR/MXN</t>
  </si>
  <si>
    <t>Cantidad base</t>
  </si>
  <si>
    <t>10 PCB</t>
  </si>
  <si>
    <t>Propósito</t>
  </si>
  <si>
    <t>Registrar, comparar y documentar cotizaciones de fabricación de PCB.</t>
  </si>
  <si>
    <t>Nota</t>
  </si>
  <si>
    <t>Valores estimados para comparación; confirmar con cotización formal.</t>
  </si>
  <si>
    <t>No.</t>
  </si>
  <si>
    <t>Proveedor</t>
  </si>
  <si>
    <t>País/región</t>
  </si>
  <si>
    <t>Enlace</t>
  </si>
  <si>
    <t>Cantidad</t>
  </si>
  <si>
    <t>Moneda</t>
  </si>
  <si>
    <t>Costo fabricación</t>
  </si>
  <si>
    <t>Costo envío</t>
  </si>
  <si>
    <t>Impuestos/aduana</t>
  </si>
  <si>
    <t>Costo total MXN</t>
  </si>
  <si>
    <t>Costo unitario MXN</t>
  </si>
  <si>
    <t>Tiempo entrega (días)</t>
  </si>
  <si>
    <t>Estado</t>
  </si>
  <si>
    <t>Observaciones</t>
  </si>
  <si>
    <t>JLCPCB</t>
  </si>
  <si>
    <t>China</t>
  </si>
  <si>
    <t>https://jlcpcb.com</t>
  </si>
  <si>
    <t>USD</t>
  </si>
  <si>
    <t>Valor predeterminado: prototipo pequeño; confirmar con Gerber.</t>
  </si>
  <si>
    <t>PCBWay</t>
  </si>
  <si>
    <t>https://www.pcbway.com</t>
  </si>
  <si>
    <t>Valor predeterminado realista para comparación con JLCPCB.</t>
  </si>
  <si>
    <t>OSH Park</t>
  </si>
  <si>
    <t>Estados Unidos</t>
  </si>
  <si>
    <t>https://oshpark.com</t>
  </si>
  <si>
    <t>Referencia de mayor costo; múltiplos de 3 piezas.</t>
  </si>
  <si>
    <t>Seeed Studio Fusion PCB</t>
  </si>
  <si>
    <t>https://www.seeedstudio.com/fusion_pcb.html</t>
  </si>
  <si>
    <t>Estimación de servicio internacional estándar.</t>
  </si>
  <si>
    <t>Elecrow PCB</t>
  </si>
  <si>
    <t>https://www.elecrow.com/pcb-manufacturing.html</t>
  </si>
  <si>
    <t>Costo competitivo para prototipos pequeños.</t>
  </si>
  <si>
    <t>PCBGoGo</t>
  </si>
  <si>
    <t>https://www.pcbgogo.com</t>
  </si>
  <si>
    <t>Solicitar confirmación de envío a México.</t>
  </si>
  <si>
    <t>ALLPCB</t>
  </si>
  <si>
    <t>https://www.allpcb.com</t>
  </si>
  <si>
    <t>Revisar mínimo de fabricación y costo de envío.</t>
  </si>
  <si>
    <t>Eurocircuits</t>
  </si>
  <si>
    <t>Europa</t>
  </si>
  <si>
    <t>https://www.eurocircuits.com</t>
  </si>
  <si>
    <t>EUR</t>
  </si>
  <si>
    <t>Referencia europea de costo alto para comparación.</t>
  </si>
  <si>
    <t>PCB México</t>
  </si>
  <si>
    <t>México</t>
  </si>
  <si>
    <t>https://pcb-mexico.com</t>
  </si>
  <si>
    <t>MXN</t>
  </si>
  <si>
    <t>Proveedor nacional; ventaja en comunicación y facturación.</t>
  </si>
  <si>
    <t>PCB de México</t>
  </si>
  <si>
    <t>https://www.pcbdemexico.com.mx</t>
  </si>
  <si>
    <t>Proveedor nacional alternativo; confirmar especificaciones.</t>
  </si>
  <si>
    <t>Resumen de valores predeterminados</t>
  </si>
  <si>
    <t>Proveedor menor costo total</t>
  </si>
  <si>
    <t>Menor costo total MXN</t>
  </si>
  <si>
    <t>Costo unitario promedio MXN</t>
  </si>
  <si>
    <t>Tiempo promedio entrega</t>
  </si>
  <si>
    <t>CRITERIOS ADMINISTRATIVOS PARA SELECCIÓN DEL PROVEEDOR</t>
  </si>
  <si>
    <t>Formato de solicitud de cotización</t>
  </si>
  <si>
    <t>Pendiente</t>
  </si>
  <si>
    <t>Observación</t>
  </si>
  <si>
    <t>RESUMEN DE COTIZACIÓN DE PCB — TARJETA PINGÜINO 32 BITS</t>
  </si>
  <si>
    <t>Indicador</t>
  </si>
  <si>
    <t>Valor</t>
  </si>
  <si>
    <t>Documento</t>
  </si>
  <si>
    <t>Cotización de fabricación de PCB</t>
  </si>
  <si>
    <t>Menor costo total</t>
  </si>
  <si>
    <t>Fecha de elaboración</t>
  </si>
  <si>
    <t>Menor costo unitario</t>
  </si>
  <si>
    <t>Objetivo</t>
  </si>
  <si>
    <t>Comparar proveedores y estimar el costo administrativo de fabricación de la PCB.</t>
  </si>
  <si>
    <t>Menor tiempo de entrega</t>
  </si>
  <si>
    <t>Cantidad base a cotizar</t>
  </si>
  <si>
    <t>Cotizaciones recibidas</t>
  </si>
  <si>
    <t>Margen de contingencia</t>
  </si>
  <si>
    <t>Cotizaciones pendientes</t>
  </si>
  <si>
    <t>Tipo de cambio de referencia</t>
  </si>
  <si>
    <t>Proveedor recomendado</t>
  </si>
  <si>
    <t>Completar costos con cotizaciones formales y evidencias del proveedor.</t>
  </si>
  <si>
    <t>Solicitada</t>
  </si>
  <si>
    <t>Recibida</t>
  </si>
  <si>
    <t>Seleccionada</t>
  </si>
  <si>
    <t>Descartada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</si>
</sst>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5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1F4E79"/>
      <name val="Carlito"/>
    </font>
    <font>
      <b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1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wrapText="1"/>
    </xf>
    <xf numFmtId="0" fontId="2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wrapText="1"/>
    </xf>
    <xf numFmtId="0" fontId="4" fillId="8" borderId="0" xfId="0" applyFont="1" applyFill="1" applyAlignment="1">
      <alignment wrapText="1"/>
    </xf>
    <xf numFmtId="4" fontId="4" fillId="8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4" fontId="0" fillId="0" borderId="0" xfId="0" applyNumberFormat="1" applyAlignment="1">
      <alignment horizontal="center" wrapText="1"/>
    </xf>
    <xf numFmtId="0" fontId="4" fillId="7" borderId="0" xfId="0" applyFont="1" applyFill="1" applyAlignment="1">
      <alignment horizontal="center" wrapText="1"/>
    </xf>
    <xf numFmtId="4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otizacionPCB" displayName="TablaCotizacionPCB" ref="A5:M15">
  <tableColumns count="13">
    <tableColumn id="1" xr3:uid="{00000000-0010-0000-0000-000001000000}" name="No."/>
    <tableColumn id="2" xr3:uid="{00000000-0010-0000-0000-000002000000}" name="Proveedor"/>
    <tableColumn id="3" xr3:uid="{00000000-0010-0000-0000-000003000000}" name="País/región"/>
    <tableColumn id="4" xr3:uid="{00000000-0010-0000-0000-000004000000}" name="Enlace"/>
    <tableColumn id="5" xr3:uid="{00000000-0010-0000-0000-000005000000}" name="Cantidad"/>
    <tableColumn id="6" xr3:uid="{00000000-0010-0000-0000-000006000000}" name="Moneda"/>
    <tableColumn id="7" xr3:uid="{00000000-0010-0000-0000-000007000000}" name="Costo fabricación"/>
    <tableColumn id="8" xr3:uid="{00000000-0010-0000-0000-000008000000}" name="Costo envío"/>
    <tableColumn id="9" xr3:uid="{00000000-0010-0000-0000-000009000000}" name="Impuestos/aduana"/>
    <tableColumn id="10" xr3:uid="{00000000-0010-0000-0000-00000A000000}" name="Costo total MXN"/>
    <tableColumn id="11" xr3:uid="{00000000-0010-0000-0000-00000B000000}" name="Costo unitario MXN"/>
    <tableColumn id="12" xr3:uid="{00000000-0010-0000-0000-00000C000000}" name="Tiempo entrega (días)"/>
    <tableColumn id="15" xr3:uid="{00000000-0010-0000-0000-00000F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menProyectoPCB" displayName="ResumenProyectoPCB" ref="A3:B11">
  <tableColumns count="2">
    <tableColumn id="1" xr3:uid="{00000000-0010-0000-0200-000001000000}" name="Column1"/>
    <tableColumn id="2" xr3:uid="{00000000-0010-0000-0200-00000200000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="56" workbookViewId="0">
      <selection activeCell="A3" sqref="A3"/>
    </sheetView>
  </sheetViews>
  <sheetFormatPr baseColWidth="10" defaultColWidth="8.796875" defaultRowHeight="13.8"/>
  <cols>
    <col min="1" max="1" width="12.296875" customWidth="1"/>
    <col min="2" max="2" width="28" customWidth="1"/>
    <col min="3" max="3" width="18.3984375" customWidth="1"/>
    <col min="4" max="4" width="28" customWidth="1"/>
    <col min="5" max="5" width="24.5" customWidth="1"/>
    <col min="6" max="6" width="9.59765625" customWidth="1"/>
    <col min="7" max="7" width="27.8984375" customWidth="1"/>
    <col min="8" max="8" width="22.19921875" customWidth="1"/>
    <col min="9" max="9" width="30.19921875" customWidth="1"/>
    <col min="10" max="10" width="16" customWidth="1"/>
    <col min="11" max="11" width="18.69921875" customWidth="1"/>
    <col min="12" max="12" width="20.5" customWidth="1"/>
    <col min="13" max="13" width="37.5" customWidth="1"/>
    <col min="14" max="14" width="9.59765625" customWidth="1"/>
    <col min="15" max="15" width="28" customWidth="1"/>
  </cols>
  <sheetData>
    <row r="1" spans="1:15" ht="13.3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12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55.8" customHeight="1">
      <c r="A3" s="11" t="s">
        <v>1</v>
      </c>
      <c r="B3" s="11" t="s">
        <v>2</v>
      </c>
      <c r="C3" s="11"/>
      <c r="D3" s="11"/>
      <c r="E3" s="11"/>
      <c r="F3" s="11"/>
      <c r="G3" s="11"/>
      <c r="H3" s="8" t="s">
        <v>3</v>
      </c>
      <c r="I3" s="8" t="s">
        <v>4</v>
      </c>
      <c r="J3" s="8">
        <v>18.5</v>
      </c>
      <c r="K3" s="8" t="s">
        <v>5</v>
      </c>
      <c r="L3" s="8">
        <v>20</v>
      </c>
      <c r="M3" s="8" t="s">
        <v>6</v>
      </c>
      <c r="N3" s="8" t="s">
        <v>7</v>
      </c>
      <c r="O3" s="8"/>
    </row>
    <row r="4" spans="1:15" ht="49.8" customHeight="1">
      <c r="A4" s="11" t="s">
        <v>8</v>
      </c>
      <c r="B4" s="11" t="s">
        <v>9</v>
      </c>
      <c r="C4" s="11"/>
      <c r="D4" s="11"/>
      <c r="E4" s="11"/>
      <c r="F4" s="11"/>
      <c r="G4" s="11"/>
      <c r="H4" s="11" t="s">
        <v>10</v>
      </c>
      <c r="I4" s="11" t="s">
        <v>11</v>
      </c>
      <c r="J4" s="11"/>
      <c r="K4" s="11"/>
      <c r="L4" s="11"/>
      <c r="M4" s="11"/>
      <c r="N4" s="11"/>
      <c r="O4" s="11"/>
    </row>
    <row r="5" spans="1:15" ht="12" customHeight="1">
      <c r="A5" s="7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18</v>
      </c>
      <c r="H5" s="7" t="s">
        <v>19</v>
      </c>
      <c r="I5" s="7" t="s">
        <v>20</v>
      </c>
      <c r="J5" s="7" t="s">
        <v>21</v>
      </c>
      <c r="K5" s="7" t="s">
        <v>22</v>
      </c>
      <c r="L5" s="7" t="s">
        <v>23</v>
      </c>
      <c r="M5" s="7" t="s">
        <v>25</v>
      </c>
    </row>
    <row r="6" spans="1:15" ht="31.8" customHeight="1">
      <c r="A6" s="12">
        <v>1</v>
      </c>
      <c r="B6" s="11" t="s">
        <v>26</v>
      </c>
      <c r="C6" s="11" t="s">
        <v>27</v>
      </c>
      <c r="D6" s="11" t="s">
        <v>28</v>
      </c>
      <c r="E6" s="13">
        <v>10</v>
      </c>
      <c r="F6" s="12" t="s">
        <v>29</v>
      </c>
      <c r="G6" s="14">
        <v>2</v>
      </c>
      <c r="H6" s="14">
        <v>20</v>
      </c>
      <c r="I6" s="14">
        <v>3.5</v>
      </c>
      <c r="J6" s="14">
        <f t="shared" ref="J6:J12" si="0">ROUND((G6+H6+I6)*$J$3,2)</f>
        <v>471.75</v>
      </c>
      <c r="K6" s="14">
        <f t="shared" ref="K6:K15" si="1">ROUND(J6/E6,2)</f>
        <v>47.18</v>
      </c>
      <c r="L6" s="13">
        <v>10</v>
      </c>
      <c r="M6" s="11" t="s">
        <v>30</v>
      </c>
    </row>
    <row r="7" spans="1:15" ht="31.8" customHeight="1">
      <c r="A7" s="12">
        <v>2</v>
      </c>
      <c r="B7" s="11" t="s">
        <v>31</v>
      </c>
      <c r="C7" s="11" t="s">
        <v>27</v>
      </c>
      <c r="D7" s="11" t="s">
        <v>32</v>
      </c>
      <c r="E7" s="13">
        <v>10</v>
      </c>
      <c r="F7" s="12" t="s">
        <v>29</v>
      </c>
      <c r="G7" s="14">
        <v>5</v>
      </c>
      <c r="H7" s="14">
        <v>24</v>
      </c>
      <c r="I7" s="14">
        <v>4.5</v>
      </c>
      <c r="J7" s="14">
        <f t="shared" si="0"/>
        <v>619.75</v>
      </c>
      <c r="K7" s="14">
        <f t="shared" si="1"/>
        <v>61.98</v>
      </c>
      <c r="L7" s="13">
        <v>12</v>
      </c>
      <c r="M7" s="11" t="s">
        <v>33</v>
      </c>
    </row>
    <row r="8" spans="1:15" ht="31.8" customHeight="1">
      <c r="A8" s="12">
        <v>3</v>
      </c>
      <c r="B8" s="11" t="s">
        <v>34</v>
      </c>
      <c r="C8" s="11" t="s">
        <v>35</v>
      </c>
      <c r="D8" s="11" t="s">
        <v>36</v>
      </c>
      <c r="E8" s="13">
        <v>9</v>
      </c>
      <c r="F8" s="12" t="s">
        <v>29</v>
      </c>
      <c r="G8" s="14">
        <v>45</v>
      </c>
      <c r="H8" s="14">
        <v>0</v>
      </c>
      <c r="I8" s="14">
        <v>7.2</v>
      </c>
      <c r="J8" s="14">
        <f t="shared" si="0"/>
        <v>965.7</v>
      </c>
      <c r="K8" s="14">
        <f t="shared" si="1"/>
        <v>107.3</v>
      </c>
      <c r="L8" s="13">
        <v>18</v>
      </c>
      <c r="M8" s="11" t="s">
        <v>37</v>
      </c>
    </row>
    <row r="9" spans="1:15" ht="21.15" customHeight="1">
      <c r="A9" s="12">
        <v>4</v>
      </c>
      <c r="B9" s="11" t="s">
        <v>38</v>
      </c>
      <c r="C9" s="11" t="s">
        <v>27</v>
      </c>
      <c r="D9" s="11" t="s">
        <v>39</v>
      </c>
      <c r="E9" s="13">
        <v>10</v>
      </c>
      <c r="F9" s="12" t="s">
        <v>29</v>
      </c>
      <c r="G9" s="14">
        <v>5</v>
      </c>
      <c r="H9" s="14">
        <v>22</v>
      </c>
      <c r="I9" s="14">
        <v>4</v>
      </c>
      <c r="J9" s="14">
        <f t="shared" si="0"/>
        <v>573.5</v>
      </c>
      <c r="K9" s="14">
        <f t="shared" si="1"/>
        <v>57.35</v>
      </c>
      <c r="L9" s="13">
        <v>14</v>
      </c>
      <c r="M9" s="11" t="s">
        <v>40</v>
      </c>
    </row>
    <row r="10" spans="1:15" ht="21.15" customHeight="1">
      <c r="A10" s="12">
        <v>5</v>
      </c>
      <c r="B10" s="11" t="s">
        <v>41</v>
      </c>
      <c r="C10" s="11" t="s">
        <v>27</v>
      </c>
      <c r="D10" s="11" t="s">
        <v>42</v>
      </c>
      <c r="E10" s="13">
        <v>10</v>
      </c>
      <c r="F10" s="12" t="s">
        <v>29</v>
      </c>
      <c r="G10" s="14">
        <v>4.9000000000000004</v>
      </c>
      <c r="H10" s="14">
        <v>21</v>
      </c>
      <c r="I10" s="14">
        <v>3.9</v>
      </c>
      <c r="J10" s="14">
        <f t="shared" si="0"/>
        <v>551.29999999999995</v>
      </c>
      <c r="K10" s="14">
        <f t="shared" si="1"/>
        <v>55.13</v>
      </c>
      <c r="L10" s="13">
        <v>15</v>
      </c>
      <c r="M10" s="11" t="s">
        <v>43</v>
      </c>
    </row>
    <row r="11" spans="1:15" ht="21.15" customHeight="1">
      <c r="A11" s="12">
        <v>6</v>
      </c>
      <c r="B11" s="11" t="s">
        <v>44</v>
      </c>
      <c r="C11" s="11" t="s">
        <v>27</v>
      </c>
      <c r="D11" s="11" t="s">
        <v>45</v>
      </c>
      <c r="E11" s="13">
        <v>10</v>
      </c>
      <c r="F11" s="12" t="s">
        <v>29</v>
      </c>
      <c r="G11" s="14">
        <v>5</v>
      </c>
      <c r="H11" s="14">
        <v>23</v>
      </c>
      <c r="I11" s="14">
        <v>4.2</v>
      </c>
      <c r="J11" s="14">
        <f t="shared" si="0"/>
        <v>595.70000000000005</v>
      </c>
      <c r="K11" s="14">
        <f t="shared" si="1"/>
        <v>59.57</v>
      </c>
      <c r="L11" s="13">
        <v>13</v>
      </c>
      <c r="M11" s="11" t="s">
        <v>46</v>
      </c>
    </row>
    <row r="12" spans="1:15" ht="37.200000000000003" customHeight="1">
      <c r="A12" s="12">
        <v>7</v>
      </c>
      <c r="B12" s="11" t="s">
        <v>47</v>
      </c>
      <c r="C12" s="11" t="s">
        <v>27</v>
      </c>
      <c r="D12" s="11" t="s">
        <v>48</v>
      </c>
      <c r="E12" s="13">
        <v>10</v>
      </c>
      <c r="F12" s="12" t="s">
        <v>29</v>
      </c>
      <c r="G12" s="14">
        <v>3</v>
      </c>
      <c r="H12" s="14">
        <v>24</v>
      </c>
      <c r="I12" s="14">
        <v>4.0999999999999996</v>
      </c>
      <c r="J12" s="14">
        <f t="shared" si="0"/>
        <v>575.35</v>
      </c>
      <c r="K12" s="14">
        <f t="shared" si="1"/>
        <v>57.54</v>
      </c>
      <c r="L12" s="13">
        <v>12</v>
      </c>
      <c r="M12" s="11" t="s">
        <v>49</v>
      </c>
    </row>
    <row r="13" spans="1:15" ht="31.2" customHeight="1">
      <c r="A13" s="12">
        <v>8</v>
      </c>
      <c r="B13" s="11" t="s">
        <v>50</v>
      </c>
      <c r="C13" s="11" t="s">
        <v>51</v>
      </c>
      <c r="D13" s="11" t="s">
        <v>52</v>
      </c>
      <c r="E13" s="13">
        <v>10</v>
      </c>
      <c r="F13" s="12" t="s">
        <v>53</v>
      </c>
      <c r="G13" s="14">
        <v>65</v>
      </c>
      <c r="H13" s="14">
        <v>30</v>
      </c>
      <c r="I13" s="14">
        <v>15.2</v>
      </c>
      <c r="J13" s="14">
        <f>ROUND((G13+H13+I13)*$L$3,2)</f>
        <v>2204</v>
      </c>
      <c r="K13" s="14">
        <f t="shared" si="1"/>
        <v>220.4</v>
      </c>
      <c r="L13" s="13">
        <v>10</v>
      </c>
      <c r="M13" s="11" t="s">
        <v>54</v>
      </c>
    </row>
    <row r="14" spans="1:15" ht="30.6" customHeight="1">
      <c r="A14" s="12">
        <v>9</v>
      </c>
      <c r="B14" s="11" t="s">
        <v>55</v>
      </c>
      <c r="C14" s="11" t="s">
        <v>56</v>
      </c>
      <c r="D14" s="11" t="s">
        <v>57</v>
      </c>
      <c r="E14" s="13">
        <v>10</v>
      </c>
      <c r="F14" s="12" t="s">
        <v>58</v>
      </c>
      <c r="G14" s="14">
        <v>1350</v>
      </c>
      <c r="H14" s="14">
        <v>180</v>
      </c>
      <c r="I14" s="14">
        <v>244.8</v>
      </c>
      <c r="J14" s="14">
        <f>ROUND(G14+H14+I14,2)</f>
        <v>1774.8</v>
      </c>
      <c r="K14" s="14">
        <f t="shared" si="1"/>
        <v>177.48</v>
      </c>
      <c r="L14" s="13">
        <v>8</v>
      </c>
      <c r="M14" s="11" t="s">
        <v>59</v>
      </c>
    </row>
    <row r="15" spans="1:15" ht="30.6" customHeight="1">
      <c r="A15" s="12">
        <v>10</v>
      </c>
      <c r="B15" s="11" t="s">
        <v>60</v>
      </c>
      <c r="C15" s="11" t="s">
        <v>56</v>
      </c>
      <c r="D15" s="11" t="s">
        <v>61</v>
      </c>
      <c r="E15" s="13">
        <v>10</v>
      </c>
      <c r="F15" s="12" t="s">
        <v>58</v>
      </c>
      <c r="G15" s="14">
        <v>1600</v>
      </c>
      <c r="H15" s="14">
        <v>200</v>
      </c>
      <c r="I15" s="14">
        <v>288</v>
      </c>
      <c r="J15" s="14">
        <f>ROUND(G15+H15+I15,2)</f>
        <v>2088</v>
      </c>
      <c r="K15" s="14">
        <f t="shared" si="1"/>
        <v>208.8</v>
      </c>
      <c r="L15" s="13">
        <v>9</v>
      </c>
      <c r="M15" s="11" t="s">
        <v>62</v>
      </c>
    </row>
    <row r="16" spans="1:15" ht="12" customHeight="1">
      <c r="A16" s="15" t="s">
        <v>63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ht="12" customHeight="1">
      <c r="A17" s="9" t="s">
        <v>64</v>
      </c>
      <c r="B17" s="9" t="str">
        <f>INDEX(B6:B15,MATCH(MIN(J6:J15),J6:J15,0))</f>
        <v>JLCPCB</v>
      </c>
      <c r="C17" s="9" t="s">
        <v>65</v>
      </c>
      <c r="D17" s="10">
        <f>MIN(J6:J15)</f>
        <v>471.75</v>
      </c>
      <c r="E17" s="9" t="s">
        <v>66</v>
      </c>
      <c r="F17" s="10">
        <f>ROUND(AVERAGE(K6:K15),2)</f>
        <v>105.27</v>
      </c>
      <c r="G17" s="9" t="s">
        <v>67</v>
      </c>
      <c r="H17" s="9">
        <f>ROUND(AVERAGE(L6:L15),1)</f>
        <v>12.1</v>
      </c>
      <c r="I17" s="11"/>
      <c r="J17" s="16"/>
      <c r="K17" s="11"/>
      <c r="L17" s="11"/>
      <c r="M17" s="11"/>
      <c r="N17" s="11"/>
      <c r="O17" s="11"/>
    </row>
    <row r="18" spans="1:15" ht="12" customHeight="1">
      <c r="A18" s="18" t="s">
        <v>68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ht="12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2" customHeight="1">
      <c r="A20" s="11"/>
      <c r="B20" s="5" t="s">
        <v>69</v>
      </c>
      <c r="C20" s="5"/>
      <c r="D20" s="5"/>
      <c r="E20" s="5"/>
      <c r="F20" s="5"/>
      <c r="G20" s="5"/>
      <c r="H20" s="5"/>
      <c r="I20" s="5"/>
      <c r="J20" s="5"/>
    </row>
    <row r="21" spans="1:15" ht="21.1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5" ht="12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5" ht="12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5" ht="21.1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5" ht="12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5" ht="12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</sheetData>
  <mergeCells count="2">
    <mergeCell ref="A1:O1"/>
    <mergeCell ref="A18:O18"/>
  </mergeCells>
  <conditionalFormatting sqref="J6:K15">
    <cfRule type="colorScale" priority="4">
      <colorScale>
        <cfvo type="min"/>
        <cfvo type="percentile" val="50"/>
        <cfvo type="max"/>
        <color rgb="FFC6EFCE"/>
        <color rgb="FFFFF2CC"/>
        <color rgb="FFF4CCCC"/>
      </colorScale>
    </cfRule>
  </conditionalFormatting>
  <dataValidations count="1">
    <dataValidation type="list" sqref="F6:F15" xr:uid="{00000000-0002-0000-0000-000000000000}">
      <formula1>"MXN,USD,EUR"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baseColWidth="10" defaultColWidth="8.796875" defaultRowHeight="13.8"/>
  <cols>
    <col min="1" max="1" width="24" customWidth="1"/>
    <col min="2" max="2" width="46" customWidth="1"/>
    <col min="4" max="4" width="24" customWidth="1"/>
    <col min="5" max="5" width="20" customWidth="1"/>
  </cols>
  <sheetData>
    <row r="1" spans="1:8" ht="24" customHeight="1">
      <c r="A1" s="19" t="s">
        <v>72</v>
      </c>
      <c r="B1" s="19"/>
      <c r="C1" s="19"/>
      <c r="D1" s="19"/>
      <c r="E1" s="19"/>
      <c r="F1" s="19"/>
      <c r="G1" s="19"/>
      <c r="H1" s="19"/>
    </row>
    <row r="3" spans="1:8">
      <c r="A3" s="6" t="s">
        <v>1</v>
      </c>
      <c r="B3" t="s">
        <v>2</v>
      </c>
      <c r="D3" s="5" t="s">
        <v>73</v>
      </c>
      <c r="E3" s="5" t="s">
        <v>74</v>
      </c>
    </row>
    <row r="4" spans="1:8">
      <c r="A4" s="6" t="s">
        <v>75</v>
      </c>
      <c r="B4" t="s">
        <v>76</v>
      </c>
      <c r="D4" s="6" t="s">
        <v>77</v>
      </c>
      <c r="E4" s="3">
        <f>MIN('Cotización PCB'!J6:J15)</f>
        <v>471.75</v>
      </c>
    </row>
    <row r="5" spans="1:8">
      <c r="A5" s="6" t="s">
        <v>78</v>
      </c>
      <c r="B5" s="1">
        <v>46179.967968715275</v>
      </c>
      <c r="D5" s="6" t="s">
        <v>79</v>
      </c>
      <c r="E5" s="3">
        <f>MIN('Cotización PCB'!K6:K15)</f>
        <v>47.18</v>
      </c>
    </row>
    <row r="6" spans="1:8">
      <c r="A6" s="6" t="s">
        <v>80</v>
      </c>
      <c r="B6" t="s">
        <v>81</v>
      </c>
      <c r="D6" s="6" t="s">
        <v>82</v>
      </c>
      <c r="E6" s="4">
        <f>MIN('Cotización PCB'!L6:L15)</f>
        <v>8</v>
      </c>
    </row>
    <row r="7" spans="1:8">
      <c r="A7" s="6" t="s">
        <v>83</v>
      </c>
      <c r="B7" s="2">
        <v>10</v>
      </c>
      <c r="D7" s="6" t="s">
        <v>84</v>
      </c>
      <c r="E7" s="4" t="e">
        <f>COUNTIF('Cotización PCB'!#REF!,"Recibida")+COUNTIF('Cotización PCB'!#REF!,"Seleccionada")</f>
        <v>#REF!</v>
      </c>
    </row>
    <row r="8" spans="1:8">
      <c r="A8" s="6" t="s">
        <v>85</v>
      </c>
      <c r="B8" s="3">
        <v>0.15</v>
      </c>
      <c r="D8" s="6" t="s">
        <v>86</v>
      </c>
      <c r="E8" s="4" t="e">
        <f>COUNTIF('Cotización PCB'!#REF!,"Pendiente")+COUNTIF('Cotización PCB'!#REF!,"Solicitada")</f>
        <v>#REF!</v>
      </c>
    </row>
    <row r="9" spans="1:8" ht="27.6">
      <c r="A9" s="6" t="s">
        <v>87</v>
      </c>
      <c r="B9">
        <v>18.5</v>
      </c>
    </row>
    <row r="10" spans="1:8">
      <c r="A10" s="6" t="s">
        <v>88</v>
      </c>
    </row>
    <row r="11" spans="1:8">
      <c r="A11" s="6" t="s">
        <v>71</v>
      </c>
      <c r="B11" t="s">
        <v>89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baseColWidth="10" defaultColWidth="8.796875" defaultRowHeight="13.8"/>
  <sheetData>
    <row r="1" spans="1:1">
      <c r="A1" t="s">
        <v>24</v>
      </c>
    </row>
    <row r="2" spans="1:1">
      <c r="A2" t="s">
        <v>70</v>
      </c>
    </row>
    <row r="3" spans="1:1">
      <c r="A3" t="s">
        <v>90</v>
      </c>
    </row>
    <row r="4" spans="1:1">
      <c r="A4" t="s">
        <v>91</v>
      </c>
    </row>
    <row r="5" spans="1:1">
      <c r="A5" t="s">
        <v>92</v>
      </c>
    </row>
    <row r="6" spans="1:1">
      <c r="A6" t="s">
        <v>93</v>
      </c>
    </row>
    <row r="8" spans="1:1">
      <c r="A8" t="s">
        <v>17</v>
      </c>
    </row>
    <row r="9" spans="1:1">
      <c r="A9" t="s">
        <v>58</v>
      </c>
    </row>
    <row r="10" spans="1:1">
      <c r="A10" t="s">
        <v>29</v>
      </c>
    </row>
    <row r="11" spans="1:1">
      <c r="A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Cotización PCB</vt:lpstr>
      <vt:lpstr>Resumen</vt:lpstr>
      <vt:lpstr>Catálogos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sasuke1254987 1254987</dc:creator>
  <cp:lastModifiedBy>sasuke1254987 1254987</cp:lastModifiedBy>
  <dcterms:created xsi:type="dcterms:W3CDTF">2026-06-06T23:31:48Z</dcterms:created>
  <dcterms:modified xsi:type="dcterms:W3CDTF">2026-06-06T23:31:48Z</dcterms:modified>
</cp:coreProperties>
</file>