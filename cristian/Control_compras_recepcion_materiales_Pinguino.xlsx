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530134a43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2d90ee53643426f"/>
    <x:sheet xmlns:r="http://schemas.openxmlformats.org/officeDocument/2006/relationships" name="Control_Compras" sheetId="2" r:id="R874dc618baa2452d"/>
    <x:sheet xmlns:r="http://schemas.openxmlformats.org/officeDocument/2006/relationships" name="Catalogos" sheetId="3" r:id="Rde43687222bc4c1d"/>
    <x:sheet xmlns:r="http://schemas.openxmlformats.org/officeDocument/2006/relationships" name="Proveedores" sheetId="4" r:id="Rcfac2760b53b4b64"/>
    <x:sheet xmlns:r="http://schemas.openxmlformats.org/officeDocument/2006/relationships" name="Evidencias" sheetId="5" r:id="Raafc82cf60554c4d"/>
    <x:sheet xmlns:r="http://schemas.openxmlformats.org/officeDocument/2006/relationships" name="Notas" sheetId="6" r:id="R426ee93b801d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%"/>
    <x:numFmt numFmtId="202" formatCode="yyyy-mm-dd"/>
    <x:numFmt numFmtId="203" formatCode="0.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666666"/>
      <x:name val="Carlito"/>
    </x:font>
    <x:font>
      <x:b/>
      <x:sz val="13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8">
    <x:dxf>
      <x:font>
        <x:color rgb="FF006100"/>
      </x:font>
      <x:fill>
        <x:patternFill>
          <x:bgColor rgb="FFC6EFCE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8CBAD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e136c66dd4c8e" /><Relationship Type="http://schemas.openxmlformats.org/officeDocument/2006/relationships/theme" Target="/xl/theme/theme1.xml" Id="R41a6fb0f3c364f9c" /><Relationship Type="http://schemas.openxmlformats.org/officeDocument/2006/relationships/sharedStrings" Target="/xl/sharedStrings.xml" Id="R3aa13f3ab7eb4626" /><Relationship Type="http://schemas.openxmlformats.org/officeDocument/2006/relationships/worksheet" Target="/xl/worksheets/sheet1.xml" Id="Rb2d90ee53643426f" /><Relationship Type="http://schemas.openxmlformats.org/officeDocument/2006/relationships/worksheet" Target="/xl/worksheets/sheet2.xml" Id="R874dc618baa2452d" /><Relationship Type="http://schemas.openxmlformats.org/officeDocument/2006/relationships/worksheet" Target="/xl/worksheets/sheet3.xml" Id="Rde43687222bc4c1d" /><Relationship Type="http://schemas.openxmlformats.org/officeDocument/2006/relationships/worksheet" Target="/xl/worksheets/sheet4.xml" Id="Rcfac2760b53b4b64" /><Relationship Type="http://schemas.openxmlformats.org/officeDocument/2006/relationships/worksheet" Target="/xl/worksheets/sheet5.xml" Id="Raafc82cf60554c4d" /><Relationship Type="http://schemas.openxmlformats.org/officeDocument/2006/relationships/worksheet" Target="/xl/worksheets/sheet6.xml" Id="R426ee93b801d45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52157db2bd42c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Partidas</c:v>
          </c:tx>
          <c:cat>
            <c:strRef>
              <c:f>'Resumen'!$A$23:$A$28</c:f>
              <c:strCache>
                <c:ptCount val="0"/>
              </c:strCache>
            </c:strRef>
          </c:cat>
          <c:val>
            <c:numRef>
              <c:f>'Resumen'!$B$23:$B$28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52157db2bd42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trolComprasTable" displayName="ControlComprasTable" ref="A4:X29" headerRowCount="1">
  <x:tableColumns count="24">
    <x:tableColumn id="1" name="No."/>
    <x:tableColumn id="2" name="Cantidad requerida"/>
    <x:tableColumn id="3" name="Referencia"/>
    <x:tableColumn id="4" name="Componente"/>
    <x:tableColumn id="5" name="Categoría"/>
    <x:tableColumn id="6" name="Proveedor seleccionado"/>
    <x:tableColumn id="7" name="Moneda"/>
    <x:tableColumn id="8" name="Precio unitario"/>
    <x:tableColumn id="9" name="Tipo cambio aplicado"/>
    <x:tableColumn id="10" name="Precio unitario MXN"/>
    <x:tableColumn id="11" name="Subtotal MXN"/>
    <x:tableColumn id="12" name="Envío asignado MXN"/>
    <x:tableColumn id="13" name="IVA estimado MXN"/>
    <x:tableColumn id="14" name="Total estimado MXN"/>
    <x:tableColumn id="15" name="Fecha cotización"/>
    <x:tableColumn id="16" name="Fecha compra"/>
    <x:tableColumn id="17" name="Fecha entrega estimada"/>
    <x:tableColumn id="18" name="Cantidad comprada"/>
    <x:tableColumn id="19" name="Cantidad recibida"/>
    <x:tableColumn id="20" name="Estado"/>
    <x:tableColumn id="21" name="Prioridad"/>
    <x:tableColumn id="22" name="Evidencia"/>
    <x:tableColumn id="23" name="Enlace"/>
    <x:tableColumn id="24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ProveedoresTable" displayName="ProveedoresTable" ref="A4:H15" headerRowCount="1">
  <x:tableColumns count="8">
    <x:tableColumn id="1" name="Proveedor"/>
    <x:tableColumn id="2" name="Partidas"/>
    <x:tableColumn id="3" name="Monto estimado MXN"/>
    <x:tableColumn id="4" name="Tipo"/>
    <x:tableColumn id="5" name="Ventaja"/>
    <x:tableColumn id="6" name="Riesgo"/>
    <x:tableColumn id="7" name="Evidencia requerida"/>
    <x:tableColumn id="8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EvidenciasTable" displayName="EvidenciasTable" ref="A3:I28" headerRowCount="1">
  <x:tableColumns count="9">
    <x:tableColumn id="1" name="No."/>
    <x:tableColumn id="2" name="Componente"/>
    <x:tableColumn id="3" name="Tipo de evidencia"/>
    <x:tableColumn id="4" name="Archivo o ruta"/>
    <x:tableColumn id="5" name="Fecha"/>
    <x:tableColumn id="6" name="Proveedor"/>
    <x:tableColumn id="7" name="Responsable"/>
    <x:tableColumn id="8" name="Estado"/>
    <x:tableColumn id="9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NotasControlTable" displayName="NotasControlTable" ref="A3:F12" headerRowCount="1">
  <x:tableColumns count="6">
    <x:tableColumn id="1" name="Punto"/>
    <x:tableColumn id="2" name="Criterio"/>
    <x:tableColumn id="3" name="Detalle"/>
    <x:tableColumn id="4" name="Responsable"/>
    <x:tableColumn id="5" name="Estado"/>
    <x:tableColumn id="6" name="Observ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f3bb7417ff42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682fd246ec4f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74b9955ac614e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7c03e9a895944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a27fbba957f4b9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22" hidden="0" customWidth="1"/>
    <x:col min="5" max="5" width="22" hidden="0" customWidth="1"/>
    <x:col min="7" max="7" width="22" hidden="0" customWidth="1"/>
    <x:col min="8" max="8" width="22" hidden="0" customWidth="1"/>
    <x:col min="3" max="3" width="22" hidden="0" customWidth="1"/>
    <x:col min="6" max="6" width="22" hidden="0" customWidth="1"/>
  </x:cols>
  <x:sheetData>
    <x:row r="1" ht="16.799999237060547" hidden="0" customHeight="1">
      <x:c r="A1" s="5" t="str">
        <x:v>Control de compras y recepción de materiales — PIC32-PINGUINO-MX220 Rev A</x:v>
      </x:c>
      <x:c r="B1" t="str"/>
      <x:c r="C1" t="str"/>
      <x:c r="D1" t="str"/>
      <x:c r="E1" t="str"/>
      <x:c r="F1" t="str"/>
      <x:c r="G1" t="str"/>
      <x:c r="H1" t="str"/>
    </x:row>
    <x:row r="2"/>
    <x:row r="3" ht="15" hidden="0" customHeight="1">
      <x:c r="A3" s="17" t="str">
        <x:v>Proyecto</x:v>
      </x:c>
      <x:c r="B3" t="str">
        <x:v>Tarjeta PIC32-PINGUINO-MX220 Rev A</x:v>
      </x:c>
    </x:row>
    <x:row r="4" ht="15" hidden="0" customHeight="1">
      <x:c r="A4" s="17" t="str">
        <x:v>Tarea GitHub</x:v>
      </x:c>
      <x:c r="B4" t="str">
        <x:v>#29 Control de compras y recepción de materiales</x:v>
      </x:c>
    </x:row>
    <x:row r="5" ht="15" hidden="0" customHeight="1">
      <x:c r="A5" s="17" t="str">
        <x:v>Responsable</x:v>
      </x:c>
      <x:c r="B5" s="14" t="str">
        <x:v>Rama costos/organización</x:v>
      </x:c>
    </x:row>
    <x:row r="6" ht="15" hidden="0" customHeight="1">
      <x:c r="A6" s="17" t="str">
        <x:v>Fecha base</x:v>
      </x:c>
      <x:c r="B6" s="10" t="n">
        <x:v>46193</x:v>
      </x:c>
    </x:row>
    <x:row r="7" ht="15" hidden="0" customHeight="1">
      <x:c r="A7" s="17" t="str">
        <x:v>Tipo de cambio usado</x:v>
      </x:c>
      <x:c r="B7" s="12" t="n">
        <x:v>18.5</x:v>
      </x:c>
    </x:row>
    <x:row r="8" ht="15" hidden="0" customHeight="1">
      <x:c r="A8" s="17" t="str">
        <x:v>IVA considerado</x:v>
      </x:c>
      <x:c r="B8" t="n">
        <x:v>0.16</x:v>
      </x:c>
    </x:row>
    <x:row r="9" ht="15" hidden="0" customHeight="1">
      <x:c r="A9" s="17" t="str">
        <x:v>Criterio</x:v>
      </x:c>
      <x:c r="B9" t="str">
        <x:v>Seguimiento administrativo de BOM, compras, recepción y evidencias</x:v>
      </x:c>
    </x:row>
    <x:row r="10" ht="15" hidden="0" customHeight="1">
      <x:c r="A10" s="17" t="str">
        <x:v>Estado general</x:v>
      </x:c>
      <x:c r="B10" t="str">
        <x:v>En planeación de compra</x:v>
      </x:c>
    </x:row>
    <x:row r="11"/>
    <x:row r="12" ht="15" hidden="0" customHeight="1">
      <x:c r="A12" s="22" t="str">
        <x:v>Indicador</x:v>
      </x:c>
      <x:c r="B12" s="22" t="str">
        <x:v>Valor</x:v>
      </x:c>
      <x:c r="C12" s="22" t="str"/>
      <x:c r="D12" s="22" t="str">
        <x:v>Indicador</x:v>
      </x:c>
      <x:c r="E12" s="22" t="str">
        <x:v>Valor</x:v>
      </x:c>
      <x:c r="F12" s="22" t="str"/>
      <x:c r="G12" s="22" t="str">
        <x:v>Indicador</x:v>
      </x:c>
      <x:c r="H12" s="22" t="str">
        <x:v>Valor</x:v>
      </x:c>
    </x:row>
    <x:row r="13" ht="15" hidden="0" customHeight="1">
      <x:c r="A13" s="26" t="str">
        <x:v>Partidas registradas</x:v>
      </x:c>
      <x:c r="B13" s="26" t="n">
        <x:f>COUNTA(Control_Compras!A5:A29)</x:f>
        <x:v>25</x:v>
      </x:c>
      <x:c r="C13" s="26"/>
      <x:c r="D13" s="26" t="str">
        <x:v>Subtotal materiales</x:v>
      </x:c>
      <x:c r="E13" s="27" t="n">
        <x:f>SUM(Control_Compras!K5:K29)</x:f>
        <x:v>230.4257</x:v>
      </x:c>
      <x:c r="F13" s="26"/>
      <x:c r="G13" s="26" t="str">
        <x:v>Alta prioridad</x:v>
      </x:c>
      <x:c r="H13" s="26" t="n">
        <x:f>COUNTIF(Control_Compras!U5:U29,"Alta")</x:f>
        <x:v>8</x:v>
      </x:c>
    </x:row>
    <x:row r="14" ht="15" hidden="0" customHeight="1">
      <x:c r="A14" s="26" t="str">
        <x:v>Partidas cotizadas</x:v>
      </x:c>
      <x:c r="B14" s="26" t="n">
        <x:f>COUNTIF(Control_Compras!T5:T29,"Cotizado")</x:f>
        <x:v>22</x:v>
      </x:c>
      <x:c r="C14" s="26"/>
      <x:c r="D14" s="26" t="str">
        <x:v>Envío asignado</x:v>
      </x:c>
      <x:c r="E14" s="27" t="n">
        <x:f>SUM(Control_Compras!L5:L29)</x:f>
        <x:v>0</x:v>
      </x:c>
      <x:c r="F14" s="26"/>
      <x:c r="G14" s="26" t="str">
        <x:v>Media prioridad</x:v>
      </x:c>
      <x:c r="H14" s="26" t="n">
        <x:f>COUNTIF(Control_Compras!U5:U29,"Media")</x:f>
        <x:v>8</x:v>
      </x:c>
    </x:row>
    <x:row r="15" ht="15" hidden="0" customHeight="1">
      <x:c r="A15" s="26" t="str">
        <x:v>Partidas en revisión</x:v>
      </x:c>
      <x:c r="B15" s="26" t="n">
        <x:f>COUNTIF(Control_Compras!T5:T29,"En revisión")</x:f>
        <x:v>3</x:v>
      </x:c>
      <x:c r="C15" s="26"/>
      <x:c r="D15" s="26" t="str">
        <x:v>IVA estimado</x:v>
      </x:c>
      <x:c r="E15" s="27" t="n">
        <x:f>SUM(Control_Compras!M5:M29)</x:f>
        <x:v>36.86811199999999</x:v>
      </x:c>
      <x:c r="F15" s="26"/>
      <x:c r="G15" s="26" t="str">
        <x:v>Baja prioridad</x:v>
      </x:c>
      <x:c r="H15" s="26" t="n">
        <x:f>COUNTIF(Control_Compras!U5:U29,"Baja")</x:f>
        <x:v>9</x:v>
      </x:c>
    </x:row>
    <x:row r="16" ht="15" hidden="0" customHeight="1">
      <x:c r="A16" s="26" t="str">
        <x:v>Compradas</x:v>
      </x:c>
      <x:c r="B16" s="26" t="n">
        <x:f>COUNTIF(Control_Compras!T5:T29,"Comprado")</x:f>
        <x:v>0</x:v>
      </x:c>
      <x:c r="C16" s="26"/>
      <x:c r="D16" s="26" t="str">
        <x:v>Total estimado</x:v>
      </x:c>
      <x:c r="E16" s="27" t="n">
        <x:f>SUM(Control_Compras!N5:N29)</x:f>
        <x:v>267.29381200000006</x:v>
      </x:c>
      <x:c r="F16" s="26"/>
      <x:c r="G16" s="26" t="str">
        <x:v>Proveedor con más partidas</x:v>
      </x:c>
      <x:c r="H16" s="26" t="str">
        <x:f>INDEX(Proveedores!A5:A20,MATCH(MAX(Proveedores!B5:B20),Proveedores!B5:B20,0))</x:f>
        <x:v>INTESC</x:v>
      </x:c>
    </x:row>
    <x:row r="17" ht="15" hidden="0" customHeight="1">
      <x:c r="A17" s="26" t="str">
        <x:v>Recibidas</x:v>
      </x:c>
      <x:c r="B17" s="26" t="n">
        <x:f>COUNTIF(Control_Compras!T5:T29,"Recibido")</x:f>
        <x:v>0</x:v>
      </x:c>
      <x:c r="C17" s="26"/>
      <x:c r="D17" s="26" t="str">
        <x:v>Comprado MXN</x:v>
      </x:c>
      <x:c r="E17" s="27" t="n">
        <x:f>SUMIF(Control_Compras!T5:T29,"Comprado",Control_Compras!N5:N29)+SUMIF(Control_Compras!T5:T29,"Recibido",Control_Compras!N5:N29)</x:f>
        <x:v>0</x:v>
      </x:c>
      <x:c r="F17" s="26"/>
      <x:c r="G17" s="26" t="str">
        <x:v>Fecha última revisión</x:v>
      </x:c>
      <x:c r="H17" s="28" t="n">
        <x:f>MAX(Control_Compras!O5:O29)</x:f>
        <x:v>46193</x:v>
      </x:c>
    </x:row>
    <x:row r="18" ht="15" hidden="0" customHeight="1">
      <x:c r="A18" s="26" t="str">
        <x:v>Pendientes recepción</x:v>
      </x:c>
      <x:c r="B18" s="26" t="n">
        <x:f>COUNTIF(Control_Compras!T5:T29,"En tránsito")</x:f>
        <x:v>0</x:v>
      </x:c>
      <x:c r="C18" s="26"/>
      <x:c r="D18" s="26" t="str">
        <x:v>Pendiente MXN</x:v>
      </x:c>
      <x:c r="E18" s="27" t="n">
        <x:f>E16-E17</x:f>
        <x:v>267.29381200000006</x:v>
      </x:c>
      <x:c r="F18" s="26"/>
      <x:c r="G18" s="26" t="str">
        <x:v>Promedio por partida</x:v>
      </x:c>
      <x:c r="H18" s="27" t="n">
        <x:f>IF(B13=0,0,E16/B13)</x:f>
        <x:v>10.691752480000002</x:v>
      </x:c>
    </x:row>
    <x:row r="19" ht="15" hidden="0" customHeight="1">
      <x:c r="A19" s="26" t="str">
        <x:v>Partidas críticas</x:v>
      </x:c>
      <x:c r="B19" s="26" t="n">
        <x:f>COUNTIF(Control_Compras!U5:U29,"Alta")</x:f>
        <x:v>8</x:v>
      </x:c>
      <x:c r="C19" s="26"/>
      <x:c r="D19" s="26" t="str">
        <x:v>Avance compra</x:v>
      </x:c>
      <x:c r="E19" s="29" t="n">
        <x:f>IF(E16=0,0,E17/E16)</x:f>
        <x:v>0</x:v>
      </x:c>
      <x:c r="F19" s="26"/>
      <x:c r="G19" s="26"/>
      <x:c r="H19" s="26"/>
    </x:row>
    <x:row r="20"/>
    <x:row r="21"/>
    <x:row r="22">
      <x:c r="A22" s="41" t="str">
        <x:v>Estado</x:v>
      </x:c>
      <x:c r="B22" s="41" t="str">
        <x:v>Partidas</x:v>
      </x:c>
    </x:row>
    <x:row r="23">
      <x:c r="A23" t="str">
        <x:v>Pendiente de compra</x:v>
      </x:c>
      <x:c r="B23" t="n">
        <x:f>COUNTIF(Control_Compras!T5:T29,"Pendiente de compra")</x:f>
        <x:v>0</x:v>
      </x:c>
    </x:row>
    <x:row r="24">
      <x:c r="A24" t="str">
        <x:v>Cotizado</x:v>
      </x:c>
      <x:c r="B24" t="n">
        <x:f>COUNTIF(Control_Compras!T5:T29,"Cotizado")</x:f>
        <x:v>22</x:v>
      </x:c>
    </x:row>
    <x:row r="25">
      <x:c r="A25" t="str">
        <x:v>En revisión</x:v>
      </x:c>
      <x:c r="B25" t="n">
        <x:f>COUNTIF(Control_Compras!T5:T29,"En revisión")</x:f>
        <x:v>3</x:v>
      </x:c>
    </x:row>
    <x:row r="26">
      <x:c r="A26" t="str">
        <x:v>Comprado</x:v>
      </x:c>
      <x:c r="B26" t="n">
        <x:f>COUNTIF(Control_Compras!T5:T29,"Comprado")</x:f>
        <x:v>0</x:v>
      </x:c>
    </x:row>
    <x:row r="27">
      <x:c r="A27" t="str">
        <x:v>En tránsito</x:v>
      </x:c>
      <x:c r="B27" t="n">
        <x:f>COUNTIF(Control_Compras!T5:T29,"En tránsito")</x:f>
        <x:v>0</x:v>
      </x:c>
    </x:row>
    <x:row r="28">
      <x:c r="A28" t="str">
        <x:v>Recibido</x:v>
      </x:c>
      <x:c r="B28" t="n">
        <x:f>COUNTIF(Control_Compras!T5:T29,"Recibido")</x:f>
        <x:v>0</x:v>
      </x:c>
    </x:row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mergeCells>
    <x:mergeCell ref="A1:H1"/>
  </x:mergeCells>
  <x:pageMargins left="0.7" right="0.7" top="0.75" bottom="0.75" header="0.3" footer="0.3"/>
  <x:drawing xmlns:r="http://schemas.openxmlformats.org/officeDocument/2006/relationships" r:id="R15f3bb7417ff4218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42" hidden="0" customWidth="1"/>
    <x:col min="5" max="5" width="16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8" hidden="0" customWidth="1"/>
    <x:col min="23" max="23" width="42" hidden="0" customWidth="1"/>
    <x:col min="24" max="24" width="45" hidden="0" customWidth="1"/>
  </x:cols>
  <x:sheetData>
    <x:row r="1" ht="16.799999237060547" hidden="0" customHeight="1">
      <x:c r="A1" s="4" t="str">
        <x:v>Control de compras y recepción de materiales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</x:row>
    <x:row r="2" ht="15" hidden="0" customHeight="1">
      <x:c r="A2" s="35" t="str">
        <x:v>Proyecto: PIC32-PINGUINO-MX220 Rev A | Rama: costos/organización | Documento de seguimiento interno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</x:row>
    <x:row r="3"/>
    <x:row r="4" ht="15" hidden="0" customHeight="1">
      <x:c r="A4" s="44" t="str">
        <x:v>No.</x:v>
      </x:c>
      <x:c r="B4" s="44" t="str">
        <x:v>Cantidad requerida</x:v>
      </x:c>
      <x:c r="C4" s="44" t="str">
        <x:v>Referencia</x:v>
      </x:c>
      <x:c r="D4" s="44" t="str">
        <x:v>Componente</x:v>
      </x:c>
      <x:c r="E4" s="44" t="str">
        <x:v>Categoría</x:v>
      </x:c>
      <x:c r="F4" s="44" t="str">
        <x:v>Proveedor seleccionado</x:v>
      </x:c>
      <x:c r="G4" s="44" t="str">
        <x:v>Moneda</x:v>
      </x:c>
      <x:c r="H4" s="44" t="str">
        <x:v>Precio unitario</x:v>
      </x:c>
      <x:c r="I4" s="44" t="str">
        <x:v>Tipo cambio aplicado</x:v>
      </x:c>
      <x:c r="J4" s="44" t="str">
        <x:v>Precio unitario MXN</x:v>
      </x:c>
      <x:c r="K4" s="44" t="str">
        <x:v>Subtotal MXN</x:v>
      </x:c>
      <x:c r="L4" s="44" t="str">
        <x:v>Envío asignado MXN</x:v>
      </x:c>
      <x:c r="M4" s="44" t="str">
        <x:v>IVA estimado MXN</x:v>
      </x:c>
      <x:c r="N4" s="44" t="str">
        <x:v>Total estimado MXN</x:v>
      </x:c>
      <x:c r="O4" s="44" t="str">
        <x:v>Fecha cotización</x:v>
      </x:c>
      <x:c r="P4" s="44" t="str">
        <x:v>Fecha compra</x:v>
      </x:c>
      <x:c r="Q4" s="44" t="str">
        <x:v>Fecha entrega estimada</x:v>
      </x:c>
      <x:c r="R4" s="44" t="str">
        <x:v>Cantidad comprada</x:v>
      </x:c>
      <x:c r="S4" s="44" t="str">
        <x:v>Cantidad recibida</x:v>
      </x:c>
      <x:c r="T4" s="44" t="str">
        <x:v>Estado</x:v>
      </x:c>
      <x:c r="U4" s="44" t="str">
        <x:v>Prioridad</x:v>
      </x:c>
      <x:c r="V4" s="44" t="str">
        <x:v>Evidencia</x:v>
      </x:c>
      <x:c r="W4" s="44" t="str">
        <x:v>Enlace</x:v>
      </x:c>
      <x:c r="X4" s="44" t="str">
        <x:v>Observaciones</x:v>
      </x:c>
    </x:row>
    <x:row r="5" ht="15" hidden="0" customHeight="1">
      <x:c r="A5" s="52" t="n">
        <x:v>1</x:v>
      </x:c>
      <x:c r="B5" s="52" t="n">
        <x:v>1</x:v>
      </x:c>
      <x:c r="C5" s="52" t="str">
        <x:v>U1</x:v>
      </x:c>
      <x:c r="D5" s="52" t="str">
        <x:v>Microcontrolador PIC32MX220F032D-I/PT</x:v>
      </x:c>
      <x:c r="E5" s="52" t="str">
        <x:v>Microcontrolador</x:v>
      </x:c>
      <x:c r="F5" s="52" t="str">
        <x:v>Mouser México</x:v>
      </x:c>
      <x:c r="G5" s="52" t="str">
        <x:v>USD</x:v>
      </x:c>
      <x:c r="H5" s="53" t="n">
        <x:v>4.68</x:v>
      </x:c>
      <x:c r="I5" s="54" t="n">
        <x:f>IF(G5="USD",Resumen!$B$7,1)</x:f>
        <x:v>18.5</x:v>
      </x:c>
      <x:c r="J5" s="53" t="n">
        <x:f>H5*I5</x:f>
        <x:v>86.58</x:v>
      </x:c>
      <x:c r="K5" s="53" t="n">
        <x:f>B5*J5</x:f>
        <x:v>86.58</x:v>
      </x:c>
      <x:c r="L5" s="53" t="n">
        <x:v>0</x:v>
      </x:c>
      <x:c r="M5" s="53" t="n">
        <x:f>IF(Resumen!$B$8=0,0,(K5+L5)*Resumen!$B$8)</x:f>
        <x:v>13.8528</x:v>
      </x:c>
      <x:c r="N5" s="53" t="n">
        <x:f>K5+L5+M5</x:f>
        <x:v>100.4328</x:v>
      </x:c>
      <x:c r="O5" s="55" t="n">
        <x:v>46193</x:v>
      </x:c>
      <x:c r="P5" s="55"/>
      <x:c r="Q5" s="55"/>
      <x:c r="R5" s="52" t="n">
        <x:v>0</x:v>
      </x:c>
      <x:c r="S5" s="52" t="n">
        <x:v>0</x:v>
      </x:c>
      <x:c r="T5" s="52" t="str">
        <x:v>Cotizado</x:v>
      </x:c>
      <x:c r="U5" s="52" t="str">
        <x:v>Alta</x:v>
      </x:c>
      <x:c r="V5" s="52" t="str">
        <x:v>Pendiente de anexar</x:v>
      </x:c>
      <x:c r="W5" s="52" t="str">
        <x:v>https://www.mouser.mx/ProductDetail/Microchip-Technology/PIC32MX220F032D-I-PT?qs=YqCKdUdj4g1WcFz57CpzjQ%3D%3D</x:v>
      </x:c>
      <x:c r="X5" s="52" t="str">
        <x:v>Cotización base; validar stock antes de compra.</x:v>
      </x:c>
    </x:row>
    <x:row r="6" ht="15" hidden="0" customHeight="1">
      <x:c r="A6" s="52" t="n">
        <x:v>2</x:v>
      </x:c>
      <x:c r="B6" s="52" t="n">
        <x:v>1</x:v>
      </x:c>
      <x:c r="C6" s="52" t="str">
        <x:v>USB_DEV</x:v>
      </x:c>
      <x:c r="D6" s="52" t="str">
        <x:v>Conector USB Mini-B SMD, USB-MINI</x:v>
      </x:c>
      <x:c r="E6" s="52" t="str">
        <x:v>Conectores</x:v>
      </x:c>
      <x:c r="F6" s="52" t="str">
        <x:v>SparkFun</x:v>
      </x:c>
      <x:c r="G6" s="52" t="str">
        <x:v>USD</x:v>
      </x:c>
      <x:c r="H6" s="53" t="n">
        <x:v>1.95</x:v>
      </x:c>
      <x:c r="I6" s="54" t="n">
        <x:f>IF(G6="USD",Resumen!$B$7,1)</x:f>
        <x:v>18.5</x:v>
      </x:c>
      <x:c r="J6" s="53" t="n">
        <x:f>H6*I6</x:f>
        <x:v>36.074999999999996</x:v>
      </x:c>
      <x:c r="K6" s="53" t="n">
        <x:f>B6*J6</x:f>
        <x:v>36.074999999999996</x:v>
      </x:c>
      <x:c r="L6" s="53" t="n">
        <x:v>0</x:v>
      </x:c>
      <x:c r="M6" s="53" t="n">
        <x:f>IF(Resumen!$B$8=0,0,(K6+L6)*Resumen!$B$8)</x:f>
        <x:v>5.771999999999999</x:v>
      </x:c>
      <x:c r="N6" s="53" t="n">
        <x:f>K6+L6+M6</x:f>
        <x:v>41.846999999999994</x:v>
      </x:c>
      <x:c r="O6" s="55" t="n">
        <x:v>46193</x:v>
      </x:c>
      <x:c r="P6" s="55"/>
      <x:c r="Q6" s="55"/>
      <x:c r="R6" s="52" t="n">
        <x:v>0</x:v>
      </x:c>
      <x:c r="S6" s="52" t="n">
        <x:v>0</x:v>
      </x:c>
      <x:c r="T6" s="52" t="str">
        <x:v>Cotizado</x:v>
      </x:c>
      <x:c r="U6" s="52" t="str">
        <x:v>Alta</x:v>
      </x:c>
      <x:c r="V6" s="52" t="str">
        <x:v>Pendiente de anexar</x:v>
      </x:c>
      <x:c r="W6" s="52" t="str">
        <x:v>https://www.sparkfun.com/products/587</x:v>
      </x:c>
      <x:c r="X6" s="52" t="str">
        <x:v>Revisar huella física antes de confirmar compra.</x:v>
      </x:c>
    </x:row>
    <x:row r="7" ht="15" hidden="0" customHeight="1">
      <x:c r="A7" s="52" t="n">
        <x:v>3</x:v>
      </x:c>
      <x:c r="B7" s="52" t="n">
        <x:v>1</x:v>
      </x:c>
      <x:c r="C7" s="52" t="str">
        <x:v>3.7V-LI_BAT</x:v>
      </x:c>
      <x:c r="D7" s="52" t="str">
        <x:v>Conector de batería Li-Po 3.7 V, 2 pines DW02R</x:v>
      </x:c>
      <x:c r="E7" s="52" t="str">
        <x:v>Alimentación</x:v>
      </x:c>
      <x:c r="F7" s="52" t="str">
        <x:v>INTESC</x:v>
      </x:c>
      <x:c r="G7" s="52" t="str">
        <x:v>MXN</x:v>
      </x:c>
      <x:c r="H7" s="53" t="n">
        <x:v>5</x:v>
      </x:c>
      <x:c r="I7" s="54" t="n">
        <x:f>IF(G7="USD",Resumen!$B$7,1)</x:f>
        <x:v>1</x:v>
      </x:c>
      <x:c r="J7" s="53" t="n">
        <x:f>H7*I7</x:f>
        <x:v>5</x:v>
      </x:c>
      <x:c r="K7" s="53" t="n">
        <x:f>B7*J7</x:f>
        <x:v>5</x:v>
      </x:c>
      <x:c r="L7" s="53" t="n">
        <x:v>0</x:v>
      </x:c>
      <x:c r="M7" s="53" t="n">
        <x:f>IF(Resumen!$B$8=0,0,(K7+L7)*Resumen!$B$8)</x:f>
        <x:v>0.8</x:v>
      </x:c>
      <x:c r="N7" s="53" t="n">
        <x:f>K7+L7+M7</x:f>
        <x:v>5.8</x:v>
      </x:c>
      <x:c r="O7" s="55" t="n">
        <x:v>46193</x:v>
      </x:c>
      <x:c r="P7" s="55"/>
      <x:c r="Q7" s="55"/>
      <x:c r="R7" s="52" t="n">
        <x:v>0</x:v>
      </x:c>
      <x:c r="S7" s="52" t="n">
        <x:v>0</x:v>
      </x:c>
      <x:c r="T7" s="52" t="str">
        <x:v>Cotizado</x:v>
      </x:c>
      <x:c r="U7" s="52" t="str">
        <x:v>Media</x:v>
      </x:c>
      <x:c r="V7" s="52" t="str">
        <x:v>Pendiente de anexar</x:v>
      </x:c>
      <x:c r="W7" s="52" t="str">
        <x:v>https://intesc.mx/productos/conector-macho-tipo-jst-de-2-pines/</x:v>
      </x:c>
      <x:c r="X7" s="52" t="str">
        <x:v>Alternativa local de bajo costo.</x:v>
      </x:c>
    </x:row>
    <x:row r="8" ht="15" hidden="0" customHeight="1">
      <x:c r="A8" s="52" t="n">
        <x:v>4</x:v>
      </x:c>
      <x:c r="B8" s="52" t="n">
        <x:v>1</x:v>
      </x:c>
      <x:c r="C8" s="52" t="str">
        <x:v>PWR</x:v>
      </x:c>
      <x:c r="D8" s="52" t="str">
        <x:v>Jack/conector de alimentación 5 VDC YDJ-1136</x:v>
      </x:c>
      <x:c r="E8" s="52" t="str">
        <x:v>Alimentación</x:v>
      </x:c>
      <x:c r="F8" s="52" t="str">
        <x:v>Idea Electrónica</x:v>
      </x:c>
      <x:c r="G8" s="52" t="str">
        <x:v>MXN</x:v>
      </x:c>
      <x:c r="H8" s="53" t="n">
        <x:v>5.5</x:v>
      </x:c>
      <x:c r="I8" s="54" t="n">
        <x:f>IF(G8="USD",Resumen!$B$7,1)</x:f>
        <x:v>1</x:v>
      </x:c>
      <x:c r="J8" s="53" t="n">
        <x:f>H8*I8</x:f>
        <x:v>5.5</x:v>
      </x:c>
      <x:c r="K8" s="53" t="n">
        <x:f>B8*J8</x:f>
        <x:v>5.5</x:v>
      </x:c>
      <x:c r="L8" s="53" t="n">
        <x:v>0</x:v>
      </x:c>
      <x:c r="M8" s="53" t="n">
        <x:f>IF(Resumen!$B$8=0,0,(K8+L8)*Resumen!$B$8)</x:f>
        <x:v>0.88</x:v>
      </x:c>
      <x:c r="N8" s="53" t="n">
        <x:f>K8+L8+M8</x:f>
        <x:v>6.38</x:v>
      </x:c>
      <x:c r="O8" s="55" t="n">
        <x:v>46193</x:v>
      </x:c>
      <x:c r="P8" s="55"/>
      <x:c r="Q8" s="55"/>
      <x:c r="R8" s="52" t="n">
        <x:v>0</x:v>
      </x:c>
      <x:c r="S8" s="52" t="n">
        <x:v>0</x:v>
      </x:c>
      <x:c r="T8" s="52" t="str">
        <x:v>En revisión</x:v>
      </x:c>
      <x:c r="U8" s="52" t="str">
        <x:v>Media</x:v>
      </x:c>
      <x:c r="V8" s="52" t="str">
        <x:v>Pendiente de anexar</x:v>
      </x:c>
      <x:c r="W8" s="52" t="str">
        <x:v>https://www.ideaelectronica.mx/conectores-de-energia/4293-705-571-conector-de-barril-dc-para-pcb.html</x:v>
      </x:c>
      <x:c r="X8" s="52" t="str">
        <x:v>Elemento opcional; confirmar si se montará en esta versión.</x:v>
      </x:c>
    </x:row>
    <x:row r="9" ht="15" hidden="0" customHeight="1">
      <x:c r="A9" s="52" t="n">
        <x:v>5</x:v>
      </x:c>
      <x:c r="B9" s="52" t="n">
        <x:v>1</x:v>
      </x:c>
      <x:c r="C9" s="52" t="str">
        <x:v>D1</x:v>
      </x:c>
      <x:c r="D9" s="52" t="str">
        <x:v>Diodo Schottky BAT54C, SMD</x:v>
      </x:c>
      <x:c r="E9" s="52" t="str">
        <x:v>Protección</x:v>
      </x:c>
      <x:c r="F9" s="52" t="str">
        <x:v>Teknomovo</x:v>
      </x:c>
      <x:c r="G9" s="52" t="str">
        <x:v>MXN</x:v>
      </x:c>
      <x:c r="H9" s="53" t="n">
        <x:v>4.5</x:v>
      </x:c>
      <x:c r="I9" s="54" t="n">
        <x:f>IF(G9="USD",Resumen!$B$7,1)</x:f>
        <x:v>1</x:v>
      </x:c>
      <x:c r="J9" s="53" t="n">
        <x:f>H9*I9</x:f>
        <x:v>4.5</x:v>
      </x:c>
      <x:c r="K9" s="53" t="n">
        <x:f>B9*J9</x:f>
        <x:v>4.5</x:v>
      </x:c>
      <x:c r="L9" s="53" t="n">
        <x:v>0</x:v>
      </x:c>
      <x:c r="M9" s="53" t="n">
        <x:f>IF(Resumen!$B$8=0,0,(K9+L9)*Resumen!$B$8)</x:f>
        <x:v>0.72</x:v>
      </x:c>
      <x:c r="N9" s="53" t="n">
        <x:f>K9+L9+M9</x:f>
        <x:v>5.22</x:v>
      </x:c>
      <x:c r="O9" s="55" t="n">
        <x:v>46193</x:v>
      </x:c>
      <x:c r="P9" s="55"/>
      <x:c r="Q9" s="55"/>
      <x:c r="R9" s="52" t="n">
        <x:v>0</x:v>
      </x:c>
      <x:c r="S9" s="52" t="n">
        <x:v>0</x:v>
      </x:c>
      <x:c r="T9" s="52" t="str">
        <x:v>Cotizado</x:v>
      </x:c>
      <x:c r="U9" s="52" t="str">
        <x:v>Alta</x:v>
      </x:c>
      <x:c r="V9" s="52" t="str">
        <x:v>Pendiente de anexar</x:v>
      </x:c>
      <x:c r="W9" s="52" t="str">
        <x:v>https://teknomovo.com.mx/producto/diodo-doble-de-pequena-senal-schottky-catodo-comun-200-ma-30-v-voltaje-en-directo-muy-bajo-alta-frecuencia-smd/</x:v>
      </x:c>
      <x:c r="X9" s="52" t="str">
        <x:v>Precio calculado por pieza desde paquete de 20 unidades.</x:v>
      </x:c>
    </x:row>
    <x:row r="10" ht="15" hidden="0" customHeight="1">
      <x:c r="A10" s="52" t="n">
        <x:v>6</x:v>
      </x:c>
      <x:c r="B10" s="52" t="n">
        <x:v>1</x:v>
      </x:c>
      <x:c r="C10" s="52" t="str">
        <x:v>VR2</x:v>
      </x:c>
      <x:c r="D10" s="52" t="str">
        <x:v>Regulador LDO 3.3 V MCP1700T-3302E/MB</x:v>
      </x:c>
      <x:c r="E10" s="52" t="str">
        <x:v>Regulación</x:v>
      </x:c>
      <x:c r="F10" s="52" t="str">
        <x:v>LCSC</x:v>
      </x:c>
      <x:c r="G10" s="52" t="str">
        <x:v>USD</x:v>
      </x:c>
      <x:c r="H10" s="53" t="n">
        <x:v>0.5422</x:v>
      </x:c>
      <x:c r="I10" s="54" t="n">
        <x:f>IF(G10="USD",Resumen!$B$7,1)</x:f>
        <x:v>18.5</x:v>
      </x:c>
      <x:c r="J10" s="53" t="n">
        <x:f>H10*I10</x:f>
        <x:v>10.0307</x:v>
      </x:c>
      <x:c r="K10" s="53" t="n">
        <x:f>B10*J10</x:f>
        <x:v>10.0307</x:v>
      </x:c>
      <x:c r="L10" s="53" t="n">
        <x:v>0</x:v>
      </x:c>
      <x:c r="M10" s="53" t="n">
        <x:f>IF(Resumen!$B$8=0,0,(K10+L10)*Resumen!$B$8)</x:f>
        <x:v>1.604912</x:v>
      </x:c>
      <x:c r="N10" s="53" t="n">
        <x:f>K10+L10+M10</x:f>
        <x:v>11.635612</x:v>
      </x:c>
      <x:c r="O10" s="55" t="n">
        <x:v>46193</x:v>
      </x:c>
      <x:c r="P10" s="55"/>
      <x:c r="Q10" s="55"/>
      <x:c r="R10" s="52" t="n">
        <x:v>0</x:v>
      </x:c>
      <x:c r="S10" s="52" t="n">
        <x:v>0</x:v>
      </x:c>
      <x:c r="T10" s="52" t="str">
        <x:v>Cotizado</x:v>
      </x:c>
      <x:c r="U10" s="52" t="str">
        <x:v>Alta</x:v>
      </x:c>
      <x:c r="V10" s="52" t="str">
        <x:v>Pendiente de anexar</x:v>
      </x:c>
      <x:c r="W10" s="52" t="str">
        <x:v>https://www.lcsc.com/product-detail/C632000.html</x:v>
      </x:c>
      <x:c r="X10" s="52" t="str">
        <x:v>Componente crítico para alimentación de 3.3 V.</x:v>
      </x:c>
    </x:row>
    <x:row r="11" ht="15" hidden="0" customHeight="1">
      <x:c r="A11" s="52" t="n">
        <x:v>7</x:v>
      </x:c>
      <x:c r="B11" s="52" t="n">
        <x:v>1</x:v>
      </x:c>
      <x:c r="C11" s="52" t="str">
        <x:v>VR1</x:v>
      </x:c>
      <x:c r="D11" s="52" t="str">
        <x:v>Regulador ajustable LM1117IMPX-ADJ</x:v>
      </x:c>
      <x:c r="E11" s="52" t="str">
        <x:v>Regulación</x:v>
      </x:c>
      <x:c r="F11" s="52" t="str">
        <x:v>Mouser</x:v>
      </x:c>
      <x:c r="G11" s="52" t="str">
        <x:v>USD</x:v>
      </x:c>
      <x:c r="H11" s="53" t="n">
        <x:v>1.04</x:v>
      </x:c>
      <x:c r="I11" s="54" t="n">
        <x:f>IF(G11="USD",Resumen!$B$7,1)</x:f>
        <x:v>18.5</x:v>
      </x:c>
      <x:c r="J11" s="53" t="n">
        <x:f>H11*I11</x:f>
        <x:v>19.240000000000002</x:v>
      </x:c>
      <x:c r="K11" s="53" t="n">
        <x:f>B11*J11</x:f>
        <x:v>19.240000000000002</x:v>
      </x:c>
      <x:c r="L11" s="53" t="n">
        <x:v>0</x:v>
      </x:c>
      <x:c r="M11" s="53" t="n">
        <x:f>IF(Resumen!$B$8=0,0,(K11+L11)*Resumen!$B$8)</x:f>
        <x:v>3.0784000000000002</x:v>
      </x:c>
      <x:c r="N11" s="53" t="n">
        <x:f>K11+L11+M11</x:f>
        <x:v>22.318400000000004</x:v>
      </x:c>
      <x:c r="O11" s="55" t="n">
        <x:v>46193</x:v>
      </x:c>
      <x:c r="P11" s="55"/>
      <x:c r="Q11" s="55"/>
      <x:c r="R11" s="52" t="n">
        <x:v>0</x:v>
      </x:c>
      <x:c r="S11" s="52" t="n">
        <x:v>0</x:v>
      </x:c>
      <x:c r="T11" s="52" t="str">
        <x:v>En revisión</x:v>
      </x:c>
      <x:c r="U11" s="52" t="str">
        <x:v>Media</x:v>
      </x:c>
      <x:c r="V11" s="52" t="str">
        <x:v>Pendiente de anexar</x:v>
      </x:c>
      <x:c r="W11" s="52" t="str">
        <x:v>https://www.mouser.com/ProductDetail/Texas-Instruments/LM1117IMPX-ADJ-NOPB?qs=X1J7HmVL2ZH7x9eSBiUHaQ%3D%3D</x:v>
      </x:c>
      <x:c r="X11" s="52" t="str">
        <x:v>Marcado como opcional en la lista; confirmar ensamble.</x:v>
      </x:c>
    </x:row>
    <x:row r="12" ht="15" hidden="0" customHeight="1">
      <x:c r="A12" s="52" t="n">
        <x:v>8</x:v>
      </x:c>
      <x:c r="B12" s="52" t="n">
        <x:v>1</x:v>
      </x:c>
      <x:c r="C12" s="52" t="str">
        <x:v>Q1</x:v>
      </x:c>
      <x:c r="D12" s="52" t="str">
        <x:v>Cristal de cuarzo 8.000 MHz HC-49SM SMD, 20 pF, 20 ppm</x:v>
      </x:c>
      <x:c r="E12" s="52" t="str">
        <x:v>Oscilador</x:v>
      </x:c>
      <x:c r="F12" s="52" t="str">
        <x:v>INTESC</x:v>
      </x:c>
      <x:c r="G12" s="52" t="str">
        <x:v>MXN</x:v>
      </x:c>
      <x:c r="H12" s="53" t="n">
        <x:v>6</x:v>
      </x:c>
      <x:c r="I12" s="54" t="n">
        <x:f>IF(G12="USD",Resumen!$B$7,1)</x:f>
        <x:v>1</x:v>
      </x:c>
      <x:c r="J12" s="53" t="n">
        <x:f>H12*I12</x:f>
        <x:v>6</x:v>
      </x:c>
      <x:c r="K12" s="53" t="n">
        <x:f>B12*J12</x:f>
        <x:v>6</x:v>
      </x:c>
      <x:c r="L12" s="53" t="n">
        <x:v>0</x:v>
      </x:c>
      <x:c r="M12" s="53" t="n">
        <x:f>IF(Resumen!$B$8=0,0,(K12+L12)*Resumen!$B$8)</x:f>
        <x:v>0.96</x:v>
      </x:c>
      <x:c r="N12" s="53" t="n">
        <x:f>K12+L12+M12</x:f>
        <x:v>6.96</x:v>
      </x:c>
      <x:c r="O12" s="55" t="n">
        <x:v>46193</x:v>
      </x:c>
      <x:c r="P12" s="55"/>
      <x:c r="Q12" s="55"/>
      <x:c r="R12" s="52" t="n">
        <x:v>0</x:v>
      </x:c>
      <x:c r="S12" s="52" t="n">
        <x:v>0</x:v>
      </x:c>
      <x:c r="T12" s="52" t="str">
        <x:v>Cotizado</x:v>
      </x:c>
      <x:c r="U12" s="52" t="str">
        <x:v>Alta</x:v>
      </x:c>
      <x:c r="V12" s="52" t="str">
        <x:v>Pendiente de anexar</x:v>
      </x:c>
      <x:c r="W12" s="52" t="str">
        <x:v>https://intesc.mx/productos/oscilador-de-8mhz-smd/</x:v>
      </x:c>
      <x:c r="X12" s="52" t="str">
        <x:v>Validar frecuencia y capacitores asociados.</x:v>
      </x:c>
    </x:row>
    <x:row r="13" ht="15" hidden="0" customHeight="1">
      <x:c r="A13" s="52" t="n">
        <x:v>9</x:v>
      </x:c>
      <x:c r="B13" s="52" t="n">
        <x:v>1</x:v>
      </x:c>
      <x:c r="C13" s="52" t="str">
        <x:v>LED1</x:v>
      </x:c>
      <x:c r="D13" s="52" t="str">
        <x:v>LED verde SMD 0603</x:v>
      </x:c>
      <x:c r="E13" s="52" t="str">
        <x:v>Indicadores</x:v>
      </x:c>
      <x:c r="F13" s="52" t="str">
        <x:v>Aelectronics</x:v>
      </x:c>
      <x:c r="G13" s="52" t="str">
        <x:v>MXN</x:v>
      </x:c>
      <x:c r="H13" s="53" t="n">
        <x:v>1.5</x:v>
      </x:c>
      <x:c r="I13" s="54" t="n">
        <x:f>IF(G13="USD",Resumen!$B$7,1)</x:f>
        <x:v>1</x:v>
      </x:c>
      <x:c r="J13" s="53" t="n">
        <x:f>H13*I13</x:f>
        <x:v>1.5</x:v>
      </x:c>
      <x:c r="K13" s="53" t="n">
        <x:f>B13*J13</x:f>
        <x:v>1.5</x:v>
      </x:c>
      <x:c r="L13" s="53" t="n">
        <x:v>0</x:v>
      </x:c>
      <x:c r="M13" s="53" t="n">
        <x:f>IF(Resumen!$B$8=0,0,(K13+L13)*Resumen!$B$8)</x:f>
        <x:v>0.24</x:v>
      </x:c>
      <x:c r="N13" s="53" t="n">
        <x:f>K13+L13+M13</x:f>
        <x:v>1.74</x:v>
      </x:c>
      <x:c r="O13" s="55" t="n">
        <x:v>46193</x:v>
      </x:c>
      <x:c r="P13" s="55"/>
      <x:c r="Q13" s="55"/>
      <x:c r="R13" s="52" t="n">
        <x:v>0</x:v>
      </x:c>
      <x:c r="S13" s="52" t="n">
        <x:v>0</x:v>
      </x:c>
      <x:c r="T13" s="52" t="str">
        <x:v>Cotizado</x:v>
      </x:c>
      <x:c r="U13" s="52" t="str">
        <x:v>Baja</x:v>
      </x:c>
      <x:c r="V13" s="52" t="str">
        <x:v>Pendiente de anexar</x:v>
      </x:c>
      <x:c r="W13" s="52" t="str">
        <x:v>https://aelectronics.com.mx/home/2580-led-smd-0603-verde.html</x:v>
      </x:c>
      <x:c r="X13" s="52" t="str">
        <x:v>Indicador visual; no bloquea pruebas principales.</x:v>
      </x:c>
    </x:row>
    <x:row r="14" ht="15" hidden="0" customHeight="1">
      <x:c r="A14" s="52" t="n">
        <x:v>10</x:v>
      </x:c>
      <x:c r="B14" s="52" t="n">
        <x:v>1</x:v>
      </x:c>
      <x:c r="C14" s="52" t="str">
        <x:v>LED2</x:v>
      </x:c>
      <x:c r="D14" s="52" t="str">
        <x:v>LED rojo SMD 0603</x:v>
      </x:c>
      <x:c r="E14" s="52" t="str">
        <x:v>Indicadores</x:v>
      </x:c>
      <x:c r="F14" s="52" t="str">
        <x:v>Uelectronics</x:v>
      </x:c>
      <x:c r="G14" s="52" t="str">
        <x:v>MXN</x:v>
      </x:c>
      <x:c r="H14" s="53" t="n">
        <x:v>0.5</x:v>
      </x:c>
      <x:c r="I14" s="54" t="n">
        <x:f>IF(G14="USD",Resumen!$B$7,1)</x:f>
        <x:v>1</x:v>
      </x:c>
      <x:c r="J14" s="53" t="n">
        <x:f>H14*I14</x:f>
        <x:v>0.5</x:v>
      </x:c>
      <x:c r="K14" s="53" t="n">
        <x:f>B14*J14</x:f>
        <x:v>0.5</x:v>
      </x:c>
      <x:c r="L14" s="53" t="n">
        <x:v>0</x:v>
      </x:c>
      <x:c r="M14" s="53" t="n">
        <x:f>IF(Resumen!$B$8=0,0,(K14+L14)*Resumen!$B$8)</x:f>
        <x:v>0.08</x:v>
      </x:c>
      <x:c r="N14" s="53" t="n">
        <x:f>K14+L14+M14</x:f>
        <x:v>0.58</x:v>
      </x:c>
      <x:c r="O14" s="55" t="n">
        <x:v>46193</x:v>
      </x:c>
      <x:c r="P14" s="55"/>
      <x:c r="Q14" s="55"/>
      <x:c r="R14" s="52" t="n">
        <x:v>0</x:v>
      </x:c>
      <x:c r="S14" s="52" t="n">
        <x:v>0</x:v>
      </x:c>
      <x:c r="T14" s="52" t="str">
        <x:v>Cotizado</x:v>
      </x:c>
      <x:c r="U14" s="52" t="str">
        <x:v>Baja</x:v>
      </x:c>
      <x:c r="V14" s="52" t="str">
        <x:v>Pendiente de anexar</x:v>
      </x:c>
      <x:c r="W14" s="52" t="str">
        <x:v>https://uelectronics.com/producto/ncd0603r1-led-rojo-smd-0603/</x:v>
      </x:c>
      <x:c r="X14" s="52" t="str">
        <x:v>Indicador visual; revisar polaridad en ensamble.</x:v>
      </x:c>
    </x:row>
    <x:row r="15" ht="15" hidden="0" customHeight="1">
      <x:c r="A15" s="52" t="n">
        <x:v>11</x:v>
      </x:c>
      <x:c r="B15" s="52" t="n">
        <x:v>2</x:v>
      </x:c>
      <x:c r="C15" s="52" t="str">
        <x:v>BUT, RST</x:v>
      </x:c>
      <x:c r="D15" s="52" t="str">
        <x:v>Botón pulsador táctil SMD T1107A 6 x 3.8 x 2.5 mm</x:v>
      </x:c>
      <x:c r="E15" s="52" t="str">
        <x:v>Interfaz</x:v>
      </x:c>
      <x:c r="F15" s="52" t="str">
        <x:v>SIEEG</x:v>
      </x:c>
      <x:c r="G15" s="52" t="str">
        <x:v>MXN</x:v>
      </x:c>
      <x:c r="H15" s="53" t="n">
        <x:v>2</x:v>
      </x:c>
      <x:c r="I15" s="54" t="n">
        <x:f>IF(G15="USD",Resumen!$B$7,1)</x:f>
        <x:v>1</x:v>
      </x:c>
      <x:c r="J15" s="53" t="n">
        <x:f>H15*I15</x:f>
        <x:v>2</x:v>
      </x:c>
      <x:c r="K15" s="53" t="n">
        <x:f>B15*J15</x:f>
        <x:v>4</x:v>
      </x:c>
      <x:c r="L15" s="53" t="n">
        <x:v>0</x:v>
      </x:c>
      <x:c r="M15" s="53" t="n">
        <x:f>IF(Resumen!$B$8=0,0,(K15+L15)*Resumen!$B$8)</x:f>
        <x:v>0.64</x:v>
      </x:c>
      <x:c r="N15" s="53" t="n">
        <x:f>K15+L15+M15</x:f>
        <x:v>4.64</x:v>
      </x:c>
      <x:c r="O15" s="55" t="n">
        <x:v>46193</x:v>
      </x:c>
      <x:c r="P15" s="55"/>
      <x:c r="Q15" s="55"/>
      <x:c r="R15" s="52" t="n">
        <x:v>0</x:v>
      </x:c>
      <x:c r="S15" s="52" t="n">
        <x:v>0</x:v>
      </x:c>
      <x:c r="T15" s="52" t="str">
        <x:v>Cotizado</x:v>
      </x:c>
      <x:c r="U15" s="52" t="str">
        <x:v>Media</x:v>
      </x:c>
      <x:c r="V15" s="52" t="str">
        <x:v>Pendiente de anexar</x:v>
      </x:c>
      <x:c r="W15" s="52" t="str">
        <x:v>https://sieeg.com.mx/producto/switch-interruptor-smd-3x6x3-8mm/</x:v>
      </x:c>
      <x:c r="X15" s="52" t="str">
        <x:v>Se requieren dos piezas: botón de usuario y reset.</x:v>
      </x:c>
    </x:row>
    <x:row r="16" ht="15" hidden="0" customHeight="1">
      <x:c r="A16" s="52" t="n">
        <x:v>12</x:v>
      </x:c>
      <x:c r="B16" s="52" t="n">
        <x:v>1</x:v>
      </x:c>
      <x:c r="C16" s="52" t="str">
        <x:v>UEXT</x:v>
      </x:c>
      <x:c r="D16" s="52" t="str">
        <x:v>Conector UEXT BH10R, 10 pines</x:v>
      </x:c>
      <x:c r="E16" s="52" t="str">
        <x:v>Conectores</x:v>
      </x:c>
      <x:c r="F16" s="52" t="str">
        <x:v>Idea Electrónica</x:v>
      </x:c>
      <x:c r="G16" s="52" t="str">
        <x:v>MXN</x:v>
      </x:c>
      <x:c r="H16" s="53" t="n">
        <x:v>5.5</x:v>
      </x:c>
      <x:c r="I16" s="54" t="n">
        <x:f>IF(G16="USD",Resumen!$B$7,1)</x:f>
        <x:v>1</x:v>
      </x:c>
      <x:c r="J16" s="53" t="n">
        <x:f>H16*I16</x:f>
        <x:v>5.5</x:v>
      </x:c>
      <x:c r="K16" s="53" t="n">
        <x:f>B16*J16</x:f>
        <x:v>5.5</x:v>
      </x:c>
      <x:c r="L16" s="53" t="n">
        <x:v>0</x:v>
      </x:c>
      <x:c r="M16" s="53" t="n">
        <x:f>IF(Resumen!$B$8=0,0,(K16+L16)*Resumen!$B$8)</x:f>
        <x:v>0.88</x:v>
      </x:c>
      <x:c r="N16" s="53" t="n">
        <x:f>K16+L16+M16</x:f>
        <x:v>6.38</x:v>
      </x:c>
      <x:c r="O16" s="55" t="n">
        <x:v>46193</x:v>
      </x:c>
      <x:c r="P16" s="55"/>
      <x:c r="Q16" s="55"/>
      <x:c r="R16" s="52" t="n">
        <x:v>0</x:v>
      </x:c>
      <x:c r="S16" s="52" t="n">
        <x:v>0</x:v>
      </x:c>
      <x:c r="T16" s="52" t="str">
        <x:v>Cotizado</x:v>
      </x:c>
      <x:c r="U16" s="52" t="str">
        <x:v>Media</x:v>
      </x:c>
      <x:c r="V16" s="52" t="str">
        <x:v>Pendiente de anexar</x:v>
      </x:c>
      <x:c r="W16" s="52" t="str">
        <x:v>https://www.ideaelectronica.mx/conectores-de-energia/3895-fcn-2x5-conector-macho-10-pin-para-cable-plano.html</x:v>
      </x:c>
      <x:c r="X16" s="52" t="str">
        <x:v>Opción similar 2x5 IDC; revisar orientación.</x:v>
      </x:c>
    </x:row>
    <x:row r="17" ht="15" hidden="0" customHeight="1">
      <x:c r="A17" s="52" t="n">
        <x:v>13</x:v>
      </x:c>
      <x:c r="B17" s="52" t="n">
        <x:v>1</x:v>
      </x:c>
      <x:c r="C17" s="52" t="str">
        <x:v>ICSP</x:v>
      </x:c>
      <x:c r="D17" s="52" t="str">
        <x:v>Header ICSP WF6S, 6 pines</x:v>
      </x:c>
      <x:c r="E17" s="52" t="str">
        <x:v>Programación</x:v>
      </x:c>
      <x:c r="F17" s="52" t="str">
        <x:v>INTESC</x:v>
      </x:c>
      <x:c r="G17" s="52" t="str">
        <x:v>MXN</x:v>
      </x:c>
      <x:c r="H17" s="53" t="n">
        <x:v>5</x:v>
      </x:c>
      <x:c r="I17" s="54" t="n">
        <x:f>IF(G17="USD",Resumen!$B$7,1)</x:f>
        <x:v>1</x:v>
      </x:c>
      <x:c r="J17" s="53" t="n">
        <x:f>H17*I17</x:f>
        <x:v>5</x:v>
      </x:c>
      <x:c r="K17" s="53" t="n">
        <x:f>B17*J17</x:f>
        <x:v>5</x:v>
      </x:c>
      <x:c r="L17" s="53" t="n">
        <x:v>0</x:v>
      </x:c>
      <x:c r="M17" s="53" t="n">
        <x:f>IF(Resumen!$B$8=0,0,(K17+L17)*Resumen!$B$8)</x:f>
        <x:v>0.8</x:v>
      </x:c>
      <x:c r="N17" s="53" t="n">
        <x:f>K17+L17+M17</x:f>
        <x:v>5.8</x:v>
      </x:c>
      <x:c r="O17" s="55" t="n">
        <x:v>46193</x:v>
      </x:c>
      <x:c r="P17" s="55"/>
      <x:c r="Q17" s="55"/>
      <x:c r="R17" s="52" t="n">
        <x:v>0</x:v>
      </x:c>
      <x:c r="S17" s="52" t="n">
        <x:v>0</x:v>
      </x:c>
      <x:c r="T17" s="52" t="str">
        <x:v>Cotizado</x:v>
      </x:c>
      <x:c r="U17" s="52" t="str">
        <x:v>Alta</x:v>
      </x:c>
      <x:c r="V17" s="52" t="str">
        <x:v>Pendiente de anexar</x:v>
      </x:c>
      <x:c r="W17" s="52" t="str">
        <x:v>https://intesc.mx/productos/tira-de-40-pines-macho-de-2-54mm/</x:v>
      </x:c>
      <x:c r="X17" s="52" t="str">
        <x:v>Indispensable para programar o grabar bootloader.</x:v>
      </x:c>
    </x:row>
    <x:row r="18" ht="15" hidden="0" customHeight="1">
      <x:c r="A18" s="52" t="n">
        <x:v>14</x:v>
      </x:c>
      <x:c r="B18" s="52" t="n">
        <x:v>1</x:v>
      </x:c>
      <x:c r="C18" s="52" t="str">
        <x:v>CON1, CON2, CON4, CON5</x:v>
      </x:c>
      <x:c r="D18" s="52" t="str">
        <x:v>Juego de headers Arduino: 2 x PN1x8 + 2 x PN1x6</x:v>
      </x:c>
      <x:c r="E18" s="52" t="str">
        <x:v>Conectores</x:v>
      </x:c>
      <x:c r="F18" s="52" t="str">
        <x:v>Rantec</x:v>
      </x:c>
      <x:c r="G18" s="52" t="str">
        <x:v>MXN</x:v>
      </x:c>
      <x:c r="H18" s="53" t="n">
        <x:v>5</x:v>
      </x:c>
      <x:c r="I18" s="54" t="n">
        <x:f>IF(G18="USD",Resumen!$B$7,1)</x:f>
        <x:v>1</x:v>
      </x:c>
      <x:c r="J18" s="53" t="n">
        <x:f>H18*I18</x:f>
        <x:v>5</x:v>
      </x:c>
      <x:c r="K18" s="53" t="n">
        <x:f>B18*J18</x:f>
        <x:v>5</x:v>
      </x:c>
      <x:c r="L18" s="53" t="n">
        <x:v>0</x:v>
      </x:c>
      <x:c r="M18" s="53" t="n">
        <x:f>IF(Resumen!$B$8=0,0,(K18+L18)*Resumen!$B$8)</x:f>
        <x:v>0.8</x:v>
      </x:c>
      <x:c r="N18" s="53" t="n">
        <x:f>K18+L18+M18</x:f>
        <x:v>5.8</x:v>
      </x:c>
      <x:c r="O18" s="55" t="n">
        <x:v>46193</x:v>
      </x:c>
      <x:c r="P18" s="55"/>
      <x:c r="Q18" s="55"/>
      <x:c r="R18" s="52" t="n">
        <x:v>0</x:v>
      </x:c>
      <x:c r="S18" s="52" t="n">
        <x:v>0</x:v>
      </x:c>
      <x:c r="T18" s="52" t="str">
        <x:v>Cotizado</x:v>
      </x:c>
      <x:c r="U18" s="52" t="str">
        <x:v>Media</x:v>
      </x:c>
      <x:c r="V18" s="52" t="str">
        <x:v>Pendiente de anexar</x:v>
      </x:c>
      <x:c r="W18" s="52" t="str">
        <x:v>https://rantec.mx/tienda/tiras-de-header-hembra-de-40-dupont-2-54mm/</x:v>
      </x:c>
      <x:c r="X18" s="52" t="str">
        <x:v>Tira hembra recortable; revisar cantidad real por tarjeta.</x:v>
      </x:c>
    </x:row>
    <x:row r="19" ht="15" hidden="0" customHeight="1">
      <x:c r="A19" s="52" t="n">
        <x:v>15</x:v>
      </x:c>
      <x:c r="B19" s="52" t="n">
        <x:v>1</x:v>
      </x:c>
      <x:c r="C19" s="52" t="str">
        <x:v>R1</x:v>
      </x:c>
      <x:c r="D19" s="52" t="str">
        <x:v>Resistencia SMD 240 Ω, 1%</x:v>
      </x:c>
      <x:c r="E19" s="52" t="str">
        <x:v>Pasivos</x:v>
      </x:c>
      <x:c r="F19" s="52" t="str">
        <x:v>INTESC</x:v>
      </x:c>
      <x:c r="G19" s="52" t="str">
        <x:v>MXN</x:v>
      </x:c>
      <x:c r="H19" s="53" t="n">
        <x:v>0.25</x:v>
      </x:c>
      <x:c r="I19" s="54" t="n">
        <x:f>IF(G19="USD",Resumen!$B$7,1)</x:f>
        <x:v>1</x:v>
      </x:c>
      <x:c r="J19" s="53" t="n">
        <x:f>H19*I19</x:f>
        <x:v>0.25</x:v>
      </x:c>
      <x:c r="K19" s="53" t="n">
        <x:f>B19*J19</x:f>
        <x:v>0.25</x:v>
      </x:c>
      <x:c r="L19" s="53" t="n">
        <x:v>0</x:v>
      </x:c>
      <x:c r="M19" s="53" t="n">
        <x:f>IF(Resumen!$B$8=0,0,(K19+L19)*Resumen!$B$8)</x:f>
        <x:v>0.04</x:v>
      </x:c>
      <x:c r="N19" s="53" t="n">
        <x:f>K19+L19+M19</x:f>
        <x:v>0.29</x:v>
      </x:c>
      <x:c r="O19" s="55" t="n">
        <x:v>46193</x:v>
      </x:c>
      <x:c r="P19" s="55"/>
      <x:c r="Q19" s="55"/>
      <x:c r="R19" s="52" t="n">
        <x:v>0</x:v>
      </x:c>
      <x:c r="S19" s="52" t="n">
        <x:v>0</x:v>
      </x:c>
      <x:c r="T19" s="52" t="str">
        <x:v>Cotizado</x:v>
      </x:c>
      <x:c r="U19" s="52" t="str">
        <x:v>Baja</x:v>
      </x:c>
      <x:c r="V19" s="52" t="str">
        <x:v>Pendiente de anexar</x:v>
      </x:c>
      <x:c r="W19" s="52" t="str">
        <x:v>https://intesc.mx/productos/resistencia-de-240-ohm-1-0603/</x:v>
      </x:c>
      <x:c r="X19" s="52" t="str">
        <x:v>Valor de resistencia según BOM.</x:v>
      </x:c>
    </x:row>
    <x:row r="20" ht="15" hidden="0" customHeight="1">
      <x:c r="A20" s="52" t="n">
        <x:v>16</x:v>
      </x:c>
      <x:c r="B20" s="52" t="n">
        <x:v>1</x:v>
      </x:c>
      <x:c r="C20" s="52" t="str">
        <x:v>R2</x:v>
      </x:c>
      <x:c r="D20" s="52" t="str">
        <x:v>Resistencia SMD 390 Ω, 1%</x:v>
      </x:c>
      <x:c r="E20" s="52" t="str">
        <x:v>Pasivos</x:v>
      </x:c>
      <x:c r="F20" s="52" t="str">
        <x:v>INTESC</x:v>
      </x:c>
      <x:c r="G20" s="52" t="str">
        <x:v>MXN</x:v>
      </x:c>
      <x:c r="H20" s="53" t="n">
        <x:v>0.25</x:v>
      </x:c>
      <x:c r="I20" s="54" t="n">
        <x:f>IF(G20="USD",Resumen!$B$7,1)</x:f>
        <x:v>1</x:v>
      </x:c>
      <x:c r="J20" s="53" t="n">
        <x:f>H20*I20</x:f>
        <x:v>0.25</x:v>
      </x:c>
      <x:c r="K20" s="53" t="n">
        <x:f>B20*J20</x:f>
        <x:v>0.25</x:v>
      </x:c>
      <x:c r="L20" s="53" t="n">
        <x:v>0</x:v>
      </x:c>
      <x:c r="M20" s="53" t="n">
        <x:f>IF(Resumen!$B$8=0,0,(K20+L20)*Resumen!$B$8)</x:f>
        <x:v>0.04</x:v>
      </x:c>
      <x:c r="N20" s="53" t="n">
        <x:f>K20+L20+M20</x:f>
        <x:v>0.29</x:v>
      </x:c>
      <x:c r="O20" s="55" t="n">
        <x:v>46193</x:v>
      </x:c>
      <x:c r="P20" s="55"/>
      <x:c r="Q20" s="55"/>
      <x:c r="R20" s="52" t="n">
        <x:v>0</x:v>
      </x:c>
      <x:c r="S20" s="52" t="n">
        <x:v>0</x:v>
      </x:c>
      <x:c r="T20" s="52" t="str">
        <x:v>Cotizado</x:v>
      </x:c>
      <x:c r="U20" s="52" t="str">
        <x:v>Baja</x:v>
      </x:c>
      <x:c r="V20" s="52" t="str">
        <x:v>Pendiente de anexar</x:v>
      </x:c>
      <x:c r="W20" s="52" t="str">
        <x:v>https://intesc.mx/productos/resistencia-de-390-ohm-1-0603/</x:v>
      </x:c>
      <x:c r="X20" s="52" t="str">
        <x:v>Valor de resistencia según BOM.</x:v>
      </x:c>
    </x:row>
    <x:row r="21" ht="15" hidden="0" customHeight="1">
      <x:c r="A21" s="52" t="n">
        <x:v>17</x:v>
      </x:c>
      <x:c r="B21" s="52" t="n">
        <x:v>2</x:v>
      </x:c>
      <x:c r="C21" s="52" t="str">
        <x:v>R3, R4</x:v>
      </x:c>
      <x:c r="D21" s="52" t="str">
        <x:v>Resistencia SMD 2 kΩ</x:v>
      </x:c>
      <x:c r="E21" s="52" t="str">
        <x:v>Pasivos</x:v>
      </x:c>
      <x:c r="F21" s="52" t="str">
        <x:v>INTESC</x:v>
      </x:c>
      <x:c r="G21" s="52" t="str">
        <x:v>MXN</x:v>
      </x:c>
      <x:c r="H21" s="53" t="n">
        <x:v>0.25</x:v>
      </x:c>
      <x:c r="I21" s="54" t="n">
        <x:f>IF(G21="USD",Resumen!$B$7,1)</x:f>
        <x:v>1</x:v>
      </x:c>
      <x:c r="J21" s="53" t="n">
        <x:f>H21*I21</x:f>
        <x:v>0.25</x:v>
      </x:c>
      <x:c r="K21" s="53" t="n">
        <x:f>B21*J21</x:f>
        <x:v>0.5</x:v>
      </x:c>
      <x:c r="L21" s="53" t="n">
        <x:v>0</x:v>
      </x:c>
      <x:c r="M21" s="53" t="n">
        <x:f>IF(Resumen!$B$8=0,0,(K21+L21)*Resumen!$B$8)</x:f>
        <x:v>0.08</x:v>
      </x:c>
      <x:c r="N21" s="53" t="n">
        <x:f>K21+L21+M21</x:f>
        <x:v>0.58</x:v>
      </x:c>
      <x:c r="O21" s="55" t="n">
        <x:v>46193</x:v>
      </x:c>
      <x:c r="P21" s="55"/>
      <x:c r="Q21" s="55"/>
      <x:c r="R21" s="52" t="n">
        <x:v>0</x:v>
      </x:c>
      <x:c r="S21" s="52" t="n">
        <x:v>0</x:v>
      </x:c>
      <x:c r="T21" s="52" t="str">
        <x:v>Cotizado</x:v>
      </x:c>
      <x:c r="U21" s="52" t="str">
        <x:v>Baja</x:v>
      </x:c>
      <x:c r="V21" s="52" t="str">
        <x:v>Pendiente de anexar</x:v>
      </x:c>
      <x:c r="W21" s="52" t="str">
        <x:v>https://intesc.mx/productos/resistencia-de-2k-ohm-1-0603/</x:v>
      </x:c>
      <x:c r="X21" s="52" t="str">
        <x:v>Cantidad total considerada en el costo.</x:v>
      </x:c>
    </x:row>
    <x:row r="22" ht="15" hidden="0" customHeight="1">
      <x:c r="A22" s="52" t="n">
        <x:v>18</x:v>
      </x:c>
      <x:c r="B22" s="52" t="n">
        <x:v>4</x:v>
      </x:c>
      <x:c r="C22" s="52" t="str">
        <x:v>R5, R6, R8, R9</x:v>
      </x:c>
      <x:c r="D22" s="52" t="str">
        <x:v>Resistencia SMD 4.7 kΩ</x:v>
      </x:c>
      <x:c r="E22" s="52" t="str">
        <x:v>Pasivos</x:v>
      </x:c>
      <x:c r="F22" s="52" t="str">
        <x:v>INTESC</x:v>
      </x:c>
      <x:c r="G22" s="52" t="str">
        <x:v>MXN</x:v>
      </x:c>
      <x:c r="H22" s="53" t="n">
        <x:v>0.25</x:v>
      </x:c>
      <x:c r="I22" s="54" t="n">
        <x:f>IF(G22="USD",Resumen!$B$7,1)</x:f>
        <x:v>1</x:v>
      </x:c>
      <x:c r="J22" s="53" t="n">
        <x:f>H22*I22</x:f>
        <x:v>0.25</x:v>
      </x:c>
      <x:c r="K22" s="53" t="n">
        <x:f>B22*J22</x:f>
        <x:v>1</x:v>
      </x:c>
      <x:c r="L22" s="53" t="n">
        <x:v>0</x:v>
      </x:c>
      <x:c r="M22" s="53" t="n">
        <x:f>IF(Resumen!$B$8=0,0,(K22+L22)*Resumen!$B$8)</x:f>
        <x:v>0.16</x:v>
      </x:c>
      <x:c r="N22" s="53" t="n">
        <x:f>K22+L22+M22</x:f>
        <x:v>1.16</x:v>
      </x:c>
      <x:c r="O22" s="55" t="n">
        <x:v>46193</x:v>
      </x:c>
      <x:c r="P22" s="55"/>
      <x:c r="Q22" s="55"/>
      <x:c r="R22" s="52" t="n">
        <x:v>0</x:v>
      </x:c>
      <x:c r="S22" s="52" t="n">
        <x:v>0</x:v>
      </x:c>
      <x:c r="T22" s="52" t="str">
        <x:v>Cotizado</x:v>
      </x:c>
      <x:c r="U22" s="52" t="str">
        <x:v>Baja</x:v>
      </x:c>
      <x:c r="V22" s="52" t="str">
        <x:v>Pendiente de anexar</x:v>
      </x:c>
      <x:c r="W22" s="52" t="str">
        <x:v>https://intesc.mx/productos/resistencia-de-4-7k-ohm-1-0603/</x:v>
      </x:c>
      <x:c r="X22" s="52" t="str">
        <x:v>Resistencias principales de pull-up/pull-down según diseño.</x:v>
      </x:c>
    </x:row>
    <x:row r="23" ht="15" hidden="0" customHeight="1">
      <x:c r="A23" s="52" t="n">
        <x:v>19</x:v>
      </x:c>
      <x:c r="B23" s="52" t="n">
        <x:v>2</x:v>
      </x:c>
      <x:c r="C23" s="52" t="str">
        <x:v>R opcionales</x:v>
      </x:c>
      <x:c r="D23" s="52" t="str">
        <x:v>Resistencia SMD 4.7 kΩ, opcional/NA</x:v>
      </x:c>
      <x:c r="E23" s="52" t="str">
        <x:v>Pasivos</x:v>
      </x:c>
      <x:c r="F23" s="52" t="str">
        <x:v>INTESC</x:v>
      </x:c>
      <x:c r="G23" s="52" t="str">
        <x:v>MXN</x:v>
      </x:c>
      <x:c r="H23" s="53" t="n">
        <x:v>0.25</x:v>
      </x:c>
      <x:c r="I23" s="54" t="n">
        <x:f>IF(G23="USD",Resumen!$B$7,1)</x:f>
        <x:v>1</x:v>
      </x:c>
      <x:c r="J23" s="53" t="n">
        <x:f>H23*I23</x:f>
        <x:v>0.25</x:v>
      </x:c>
      <x:c r="K23" s="53" t="n">
        <x:f>B23*J23</x:f>
        <x:v>0.5</x:v>
      </x:c>
      <x:c r="L23" s="53" t="n">
        <x:v>0</x:v>
      </x:c>
      <x:c r="M23" s="53" t="n">
        <x:f>IF(Resumen!$B$8=0,0,(K23+L23)*Resumen!$B$8)</x:f>
        <x:v>0.08</x:v>
      </x:c>
      <x:c r="N23" s="53" t="n">
        <x:f>K23+L23+M23</x:f>
        <x:v>0.58</x:v>
      </x:c>
      <x:c r="O23" s="55" t="n">
        <x:v>46193</x:v>
      </x:c>
      <x:c r="P23" s="55"/>
      <x:c r="Q23" s="55"/>
      <x:c r="R23" s="52" t="n">
        <x:v>0</x:v>
      </x:c>
      <x:c r="S23" s="52" t="n">
        <x:v>0</x:v>
      </x:c>
      <x:c r="T23" s="52" t="str">
        <x:v>En revisión</x:v>
      </x:c>
      <x:c r="U23" s="52" t="str">
        <x:v>Baja</x:v>
      </x:c>
      <x:c r="V23" s="52" t="str">
        <x:v>Pendiente de anexar</x:v>
      </x:c>
      <x:c r="W23" s="52" t="str">
        <x:v>https://intesc.mx/productos/resistencia-de-4-7k-ohm-1-0603/</x:v>
      </x:c>
      <x:c r="X23" s="52" t="str">
        <x:v>Partidas opcionales; confirmar si entran al ensamble.</x:v>
      </x:c>
    </x:row>
    <x:row r="24" ht="15" hidden="0" customHeight="1">
      <x:c r="A24" s="52" t="n">
        <x:v>20</x:v>
      </x:c>
      <x:c r="B24" s="52" t="n">
        <x:v>1</x:v>
      </x:c>
      <x:c r="C24" s="52" t="str">
        <x:v>R7</x:v>
      </x:c>
      <x:c r="D24" s="52" t="str">
        <x:v>Resistencia SMD 33 kΩ</x:v>
      </x:c>
      <x:c r="E24" s="52" t="str">
        <x:v>Pasivos</x:v>
      </x:c>
      <x:c r="F24" s="52" t="str">
        <x:v>INTESC</x:v>
      </x:c>
      <x:c r="G24" s="52" t="str">
        <x:v>MXN</x:v>
      </x:c>
      <x:c r="H24" s="53" t="n">
        <x:v>0.25</x:v>
      </x:c>
      <x:c r="I24" s="54" t="n">
        <x:f>IF(G24="USD",Resumen!$B$7,1)</x:f>
        <x:v>1</x:v>
      </x:c>
      <x:c r="J24" s="53" t="n">
        <x:f>H24*I24</x:f>
        <x:v>0.25</x:v>
      </x:c>
      <x:c r="K24" s="53" t="n">
        <x:f>B24*J24</x:f>
        <x:v>0.25</x:v>
      </x:c>
      <x:c r="L24" s="53" t="n">
        <x:v>0</x:v>
      </x:c>
      <x:c r="M24" s="53" t="n">
        <x:f>IF(Resumen!$B$8=0,0,(K24+L24)*Resumen!$B$8)</x:f>
        <x:v>0.04</x:v>
      </x:c>
      <x:c r="N24" s="53" t="n">
        <x:f>K24+L24+M24</x:f>
        <x:v>0.29</x:v>
      </x:c>
      <x:c r="O24" s="55" t="n">
        <x:v>46193</x:v>
      </x:c>
      <x:c r="P24" s="55"/>
      <x:c r="Q24" s="55"/>
      <x:c r="R24" s="52" t="n">
        <x:v>0</x:v>
      </x:c>
      <x:c r="S24" s="52" t="n">
        <x:v>0</x:v>
      </x:c>
      <x:c r="T24" s="52" t="str">
        <x:v>Cotizado</x:v>
      </x:c>
      <x:c r="U24" s="52" t="str">
        <x:v>Baja</x:v>
      </x:c>
      <x:c r="V24" s="52" t="str">
        <x:v>Pendiente de anexar</x:v>
      </x:c>
      <x:c r="W24" s="52" t="str">
        <x:v>https://intesc.mx/productos/resistencia-de-33k-ohm-1-0603/</x:v>
      </x:c>
      <x:c r="X24" s="52" t="str">
        <x:v>Valor específico del divisor o configuración del circuito.</x:v>
      </x:c>
    </x:row>
    <x:row r="25" ht="15" hidden="0" customHeight="1">
      <x:c r="A25" s="52" t="n">
        <x:v>21</x:v>
      </x:c>
      <x:c r="B25" s="52" t="n">
        <x:v>1</x:v>
      </x:c>
      <x:c r="C25" s="52" t="str">
        <x:v>Jumper</x:v>
      </x:c>
      <x:c r="D25" s="52" t="str">
        <x:v>Resistencia SMD 0 Ω / jumper, Board Mounted</x:v>
      </x:c>
      <x:c r="E25" s="52" t="str">
        <x:v>Pasivos</x:v>
      </x:c>
      <x:c r="F25" s="52" t="str">
        <x:v>INTESC</x:v>
      </x:c>
      <x:c r="G25" s="52" t="str">
        <x:v>MXN</x:v>
      </x:c>
      <x:c r="H25" s="53" t="n">
        <x:v>0.25</x:v>
      </x:c>
      <x:c r="I25" s="54" t="n">
        <x:f>IF(G25="USD",Resumen!$B$7,1)</x:f>
        <x:v>1</x:v>
      </x:c>
      <x:c r="J25" s="53" t="n">
        <x:f>H25*I25</x:f>
        <x:v>0.25</x:v>
      </x:c>
      <x:c r="K25" s="53" t="n">
        <x:f>B25*J25</x:f>
        <x:v>0.25</x:v>
      </x:c>
      <x:c r="L25" s="53" t="n">
        <x:v>0</x:v>
      </x:c>
      <x:c r="M25" s="53" t="n">
        <x:f>IF(Resumen!$B$8=0,0,(K25+L25)*Resumen!$B$8)</x:f>
        <x:v>0.04</x:v>
      </x:c>
      <x:c r="N25" s="53" t="n">
        <x:f>K25+L25+M25</x:f>
        <x:v>0.29</x:v>
      </x:c>
      <x:c r="O25" s="55" t="n">
        <x:v>46193</x:v>
      </x:c>
      <x:c r="P25" s="55"/>
      <x:c r="Q25" s="55"/>
      <x:c r="R25" s="52" t="n">
        <x:v>0</x:v>
      </x:c>
      <x:c r="S25" s="52" t="n">
        <x:v>0</x:v>
      </x:c>
      <x:c r="T25" s="52" t="str">
        <x:v>Cotizado</x:v>
      </x:c>
      <x:c r="U25" s="52" t="str">
        <x:v>Baja</x:v>
      </x:c>
      <x:c r="V25" s="52" t="str">
        <x:v>Pendiente de anexar</x:v>
      </x:c>
      <x:c r="W25" s="52" t="str">
        <x:v>https://intesc.mx/productos/resistencia-de-4-7k-ohm-1-0603/</x:v>
      </x:c>
      <x:c r="X25" s="52" t="str">
        <x:v>Puede sustituirse por jumper 0 Ω compatible.</x:v>
      </x:c>
    </x:row>
    <x:row r="26" ht="15" hidden="0" customHeight="1">
      <x:c r="A26" s="52" t="n">
        <x:v>22</x:v>
      </x:c>
      <x:c r="B26" s="52" t="n">
        <x:v>7</x:v>
      </x:c>
      <x:c r="C26" s="52" t="str">
        <x:v>C varios</x:v>
      </x:c>
      <x:c r="D26" s="52" t="str">
        <x:v>Capacitor cerámico SMD 100 nF</x:v>
      </x:c>
      <x:c r="E26" s="52" t="str">
        <x:v>Pasivos</x:v>
      </x:c>
      <x:c r="F26" s="52" t="str">
        <x:v>Aelectronics</x:v>
      </x:c>
      <x:c r="G26" s="52" t="str">
        <x:v>MXN</x:v>
      </x:c>
      <x:c r="H26" s="53" t="n">
        <x:v>2</x:v>
      </x:c>
      <x:c r="I26" s="54" t="n">
        <x:f>IF(G26="USD",Resumen!$B$7,1)</x:f>
        <x:v>1</x:v>
      </x:c>
      <x:c r="J26" s="53" t="n">
        <x:f>H26*I26</x:f>
        <x:v>2</x:v>
      </x:c>
      <x:c r="K26" s="53" t="n">
        <x:f>B26*J26</x:f>
        <x:v>14</x:v>
      </x:c>
      <x:c r="L26" s="53" t="n">
        <x:v>0</x:v>
      </x:c>
      <x:c r="M26" s="53" t="n">
        <x:f>IF(Resumen!$B$8=0,0,(K26+L26)*Resumen!$B$8)</x:f>
        <x:v>2.24</x:v>
      </x:c>
      <x:c r="N26" s="53" t="n">
        <x:f>K26+L26+M26</x:f>
        <x:v>16.240000000000002</x:v>
      </x:c>
      <x:c r="O26" s="55" t="n">
        <x:v>46193</x:v>
      </x:c>
      <x:c r="P26" s="55"/>
      <x:c r="Q26" s="55"/>
      <x:c r="R26" s="52" t="n">
        <x:v>0</x:v>
      </x:c>
      <x:c r="S26" s="52" t="n">
        <x:v>0</x:v>
      </x:c>
      <x:c r="T26" s="52" t="str">
        <x:v>Cotizado</x:v>
      </x:c>
      <x:c r="U26" s="52" t="str">
        <x:v>Alta</x:v>
      </x:c>
      <x:c r="V26" s="52" t="str">
        <x:v>Pendiente de anexar</x:v>
      </x:c>
      <x:c r="W26" s="52" t="str">
        <x:v>https://aelectronics.com.mx/home/2136-capacitor-ceramico-smd-0603-100nf.html</x:v>
      </x:c>
      <x:c r="X26" s="52" t="str">
        <x:v>Desacoplo; conviene comprar piezas extra.</x:v>
      </x:c>
    </x:row>
    <x:row r="27" ht="15" hidden="0" customHeight="1">
      <x:c r="A27" s="52" t="n">
        <x:v>23</x:v>
      </x:c>
      <x:c r="B27" s="52" t="n">
        <x:v>4</x:v>
      </x:c>
      <x:c r="C27" s="52" t="str">
        <x:v>C varios</x:v>
      </x:c>
      <x:c r="D27" s="52" t="str">
        <x:v>Capacitor SMD 10 µF / 10 V</x:v>
      </x:c>
      <x:c r="E27" s="52" t="str">
        <x:v>Pasivos</x:v>
      </x:c>
      <x:c r="F27" s="52" t="str">
        <x:v>Aelectronics</x:v>
      </x:c>
      <x:c r="G27" s="52" t="str">
        <x:v>MXN</x:v>
      </x:c>
      <x:c r="H27" s="53" t="n">
        <x:v>4</x:v>
      </x:c>
      <x:c r="I27" s="54" t="n">
        <x:f>IF(G27="USD",Resumen!$B$7,1)</x:f>
        <x:v>1</x:v>
      </x:c>
      <x:c r="J27" s="53" t="n">
        <x:f>H27*I27</x:f>
        <x:v>4</x:v>
      </x:c>
      <x:c r="K27" s="53" t="n">
        <x:f>B27*J27</x:f>
        <x:v>16</x:v>
      </x:c>
      <x:c r="L27" s="53" t="n">
        <x:v>0</x:v>
      </x:c>
      <x:c r="M27" s="53" t="n">
        <x:f>IF(Resumen!$B$8=0,0,(K27+L27)*Resumen!$B$8)</x:f>
        <x:v>2.56</x:v>
      </x:c>
      <x:c r="N27" s="53" t="n">
        <x:f>K27+L27+M27</x:f>
        <x:v>18.56</x:v>
      </x:c>
      <x:c r="O27" s="55" t="n">
        <x:v>46193</x:v>
      </x:c>
      <x:c r="P27" s="55"/>
      <x:c r="Q27" s="55"/>
      <x:c r="R27" s="52" t="n">
        <x:v>0</x:v>
      </x:c>
      <x:c r="S27" s="52" t="n">
        <x:v>0</x:v>
      </x:c>
      <x:c r="T27" s="52" t="str">
        <x:v>Cotizado</x:v>
      </x:c>
      <x:c r="U27" s="52" t="str">
        <x:v>Alta</x:v>
      </x:c>
      <x:c r="V27" s="52" t="str">
        <x:v>Pendiente de anexar</x:v>
      </x:c>
      <x:c r="W27" s="52" t="str">
        <x:v>https://aelectronics.com.mx/home/2194-capacitor-ceramico-smd-0603-10uf-10v.html</x:v>
      </x:c>
      <x:c r="X27" s="52" t="str">
        <x:v>Importante para estabilidad de regulación y VCAP.</x:v>
      </x:c>
    </x:row>
    <x:row r="28" ht="15" hidden="0" customHeight="1">
      <x:c r="A28" s="52" t="n">
        <x:v>24</x:v>
      </x:c>
      <x:c r="B28" s="52" t="n">
        <x:v>2</x:v>
      </x:c>
      <x:c r="C28" s="52" t="str">
        <x:v>C cristal</x:v>
      </x:c>
      <x:c r="D28" s="52" t="str">
        <x:v>Capacitor cerámico SMD 20 pF</x:v>
      </x:c>
      <x:c r="E28" s="52" t="str">
        <x:v>Pasivos</x:v>
      </x:c>
      <x:c r="F28" s="52" t="str">
        <x:v>Uelectronics</x:v>
      </x:c>
      <x:c r="G28" s="52" t="str">
        <x:v>MXN</x:v>
      </x:c>
      <x:c r="H28" s="53" t="n">
        <x:v>0.5</x:v>
      </x:c>
      <x:c r="I28" s="54" t="n">
        <x:f>IF(G28="USD",Resumen!$B$7,1)</x:f>
        <x:v>1</x:v>
      </x:c>
      <x:c r="J28" s="53" t="n">
        <x:f>H28*I28</x:f>
        <x:v>0.5</x:v>
      </x:c>
      <x:c r="K28" s="53" t="n">
        <x:f>B28*J28</x:f>
        <x:v>1</x:v>
      </x:c>
      <x:c r="L28" s="53" t="n">
        <x:v>0</x:v>
      </x:c>
      <x:c r="M28" s="53" t="n">
        <x:f>IF(Resumen!$B$8=0,0,(K28+L28)*Resumen!$B$8)</x:f>
        <x:v>0.16</x:v>
      </x:c>
      <x:c r="N28" s="53" t="n">
        <x:f>K28+L28+M28</x:f>
        <x:v>1.16</x:v>
      </x:c>
      <x:c r="O28" s="55" t="n">
        <x:v>46193</x:v>
      </x:c>
      <x:c r="P28" s="55"/>
      <x:c r="Q28" s="55"/>
      <x:c r="R28" s="52" t="n">
        <x:v>0</x:v>
      </x:c>
      <x:c r="S28" s="52" t="n">
        <x:v>0</x:v>
      </x:c>
      <x:c r="T28" s="52" t="str">
        <x:v>Cotizado</x:v>
      </x:c>
      <x:c r="U28" s="52" t="str">
        <x:v>Media</x:v>
      </x:c>
      <x:c r="V28" s="52" t="str">
        <x:v>Pendiente de anexar</x:v>
      </x:c>
      <x:c r="W28" s="52" t="str">
        <x:v>https://uelectronics.com/producto/capacitor-0603-20pf-50v-cl10c200jb8nnnc/</x:v>
      </x:c>
      <x:c r="X28" s="52" t="str">
        <x:v>Asociado al cristal; confirmar valor final.</x:v>
      </x:c>
    </x:row>
    <x:row r="29" ht="15" hidden="0" customHeight="1">
      <x:c r="A29" s="52" t="n">
        <x:v>25</x:v>
      </x:c>
      <x:c r="B29" s="52" t="n">
        <x:v>1</x:v>
      </x:c>
      <x:c r="C29" s="52" t="str">
        <x:v>C filtro</x:v>
      </x:c>
      <x:c r="D29" s="52" t="str">
        <x:v>Capacitor cerámico SMD 10 nF</x:v>
      </x:c>
      <x:c r="E29" s="52" t="str">
        <x:v>Pasivos</x:v>
      </x:c>
      <x:c r="F29" s="52" t="str">
        <x:v>Aelectronics</x:v>
      </x:c>
      <x:c r="G29" s="52" t="str">
        <x:v>MXN</x:v>
      </x:c>
      <x:c r="H29" s="53" t="n">
        <x:v>2</x:v>
      </x:c>
      <x:c r="I29" s="54" t="n">
        <x:f>IF(G29="USD",Resumen!$B$7,1)</x:f>
        <x:v>1</x:v>
      </x:c>
      <x:c r="J29" s="53" t="n">
        <x:f>H29*I29</x:f>
        <x:v>2</x:v>
      </x:c>
      <x:c r="K29" s="53" t="n">
        <x:f>B29*J29</x:f>
        <x:v>2</x:v>
      </x:c>
      <x:c r="L29" s="53" t="n">
        <x:v>0</x:v>
      </x:c>
      <x:c r="M29" s="53" t="n">
        <x:f>IF(Resumen!$B$8=0,0,(K29+L29)*Resumen!$B$8)</x:f>
        <x:v>0.32</x:v>
      </x:c>
      <x:c r="N29" s="53" t="n">
        <x:f>K29+L29+M29</x:f>
        <x:v>2.32</x:v>
      </x:c>
      <x:c r="O29" s="55" t="n">
        <x:v>46193</x:v>
      </x:c>
      <x:c r="P29" s="55"/>
      <x:c r="Q29" s="55"/>
      <x:c r="R29" s="52" t="n">
        <x:v>0</x:v>
      </x:c>
      <x:c r="S29" s="52" t="n">
        <x:v>0</x:v>
      </x:c>
      <x:c r="T29" s="52" t="str">
        <x:v>Cotizado</x:v>
      </x:c>
      <x:c r="U29" s="52" t="str">
        <x:v>Media</x:v>
      </x:c>
      <x:c r="V29" s="52" t="str">
        <x:v>Pendiente de anexar</x:v>
      </x:c>
      <x:c r="W29" s="52" t="str">
        <x:v>https://aelectronics.com.mx/home/2166-capacitor-ceramico-smd-0603-10nf-50v.html</x:v>
      </x:c>
      <x:c r="X29" s="52" t="str">
        <x:v>Capacitor de filtrado según BOM.</x:v>
      </x:c>
    </x:row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mergeCells>
    <x:mergeCell ref="A1:X1"/>
    <x:mergeCell ref="A2:X2"/>
  </x:mergeCells>
  <x:conditionalFormatting sqref="T5:T60">
    <x:cfRule type="expression" dxfId="0" priority="1">
      <x:formula>T5="Recibido"</x:formula>
    </x:cfRule>
    <x:cfRule type="expression" dxfId="1" priority="2">
      <x:formula>T5="Comprado"</x:formula>
    </x:cfRule>
    <x:cfRule type="expression" dxfId="2" priority="3">
      <x:formula>T5="En tránsito"</x:formula>
    </x:cfRule>
    <x:cfRule type="expression" dxfId="3" priority="4">
      <x:formula>T5="En revisión"</x:formula>
    </x:cfRule>
    <x:cfRule type="expression" dxfId="4" priority="5">
      <x:formula>T5="Cancelado"</x:formula>
    </x:cfRule>
  </x:conditionalFormatting>
  <x:conditionalFormatting sqref="U5:U60">
    <x:cfRule type="expression" dxfId="5" priority="6">
      <x:formula>U5="Alta"</x:formula>
    </x:cfRule>
    <x:cfRule type="expression" dxfId="6" priority="7">
      <x:formula>U5="Media"</x:formula>
    </x:cfRule>
    <x:cfRule type="expression" dxfId="7" priority="8">
      <x:formula>U5="Baja"</x:formula>
    </x:cfRule>
  </x:conditionalFormatting>
  <x:dataValidations count="3">
    <x:dataValidation type="list" sqref="T5:T60">
      <x:formula1>Catalogos!$A$2:$A$8</x:formula1>
    </x:dataValidation>
    <x:dataValidation type="list" sqref="U5:U60">
      <x:formula1>Catalogos!$B$2:$B$4</x:formula1>
    </x:dataValidation>
    <x:dataValidation type="list" sqref="G5:G60">
      <x:formula1>"MXN,USD"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682fd246ec4f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6" max="6" width="13" hidden="0" customWidth="1"/>
  </x:cols>
  <x:sheetData>
    <x:row r="1" ht="15" hidden="0" customHeight="1">
      <x:c r="A1" s="43" t="str">
        <x:v>Estados</x:v>
      </x:c>
      <x:c r="B1" s="43" t="str">
        <x:v>Prioridad</x:v>
      </x:c>
      <x:c r="C1" s="43" t="str">
        <x:v>Categorías</x:v>
      </x:c>
      <x:c r="D1" s="43" t="str">
        <x:v>Notas de uso</x:v>
      </x:c>
      <x:c r="F1" t="str">
        <x:v>Estado evidencia</x:v>
      </x:c>
    </x:row>
    <x:row r="2" ht="15" hidden="0" customHeight="1">
      <x:c r="A2" s="26" t="str">
        <x:v>Pendiente de compra</x:v>
      </x:c>
      <x:c r="B2" s="26" t="str">
        <x:v>Alta</x:v>
      </x:c>
      <x:c r="C2" s="26" t="str">
        <x:v>Microcontrolador</x:v>
      </x:c>
      <x:c r="D2" s="26" t="str">
        <x:v>Usar "Cotizado" cuando ya existe precio y enlace.</x:v>
      </x:c>
      <x:c r="F2" t="str">
        <x:v>Pendiente</x:v>
      </x:c>
    </x:row>
    <x:row r="3" ht="15" hidden="0" customHeight="1">
      <x:c r="A3" s="26" t="str">
        <x:v>Cotizado</x:v>
      </x:c>
      <x:c r="B3" s="26" t="str">
        <x:v>Media</x:v>
      </x:c>
      <x:c r="C3" s="26" t="str">
        <x:v>Conectores</x:v>
      </x:c>
      <x:c r="D3" s="26" t="str">
        <x:v>Usar "En revisión" para partidas opcionales o que requieren validar huella.</x:v>
      </x:c>
      <x:c r="F3" t="str">
        <x:v>Integrada</x:v>
      </x:c>
    </x:row>
    <x:row r="4" ht="15" hidden="0" customHeight="1">
      <x:c r="A4" s="26" t="str">
        <x:v>En revisión</x:v>
      </x:c>
      <x:c r="B4" s="26" t="str">
        <x:v>Baja</x:v>
      </x:c>
      <x:c r="C4" s="26" t="str">
        <x:v>Alimentación</x:v>
      </x:c>
      <x:c r="D4" s="26" t="str">
        <x:v>No marcar como "Comprado" sin fecha y evidencia.</x:v>
      </x:c>
      <x:c r="F4" t="str">
        <x:v>No aplica</x:v>
      </x:c>
    </x:row>
    <x:row r="5" ht="15" hidden="0" customHeight="1">
      <x:c r="A5" s="26" t="str">
        <x:v>Comprado</x:v>
      </x:c>
      <x:c r="B5" s="26"/>
      <x:c r="C5" s="26" t="str">
        <x:v>Protección</x:v>
      </x:c>
      <x:c r="D5" s="26" t="str">
        <x:v>Registrar cantidad recibida hasta revisar físicamente el material.</x:v>
      </x:c>
    </x:row>
    <x:row r="6" ht="15" hidden="0" customHeight="1">
      <x:c r="A6" s="26" t="str">
        <x:v>En tránsito</x:v>
      </x:c>
      <x:c r="B6" s="26"/>
      <x:c r="C6" s="26" t="str">
        <x:v>Regulación</x:v>
      </x:c>
      <x:c r="D6" s="26" t="str">
        <x:v>Si se cambia proveedor, actualizar enlace y observaciones.</x:v>
      </x:c>
    </x:row>
    <x:row r="7" ht="15" hidden="0" customHeight="1">
      <x:c r="A7" s="26" t="str">
        <x:v>Recibido</x:v>
      </x:c>
      <x:c r="B7" s="26"/>
      <x:c r="C7" s="26" t="str">
        <x:v>Oscilador</x:v>
      </x:c>
      <x:c r="D7" s="26" t="str">
        <x:v>Los precios de moneda extranjera dependen del tipo de cambio en Resumen.</x:v>
      </x:c>
    </x:row>
    <x:row r="8" ht="15" hidden="0" customHeight="1">
      <x:c r="A8" s="26" t="str">
        <x:v>Cancelado</x:v>
      </x:c>
      <x:c r="B8" s="26"/>
      <x:c r="C8" s="26" t="str">
        <x:v>Indicadores</x:v>
      </x:c>
      <x:c r="D8" s="26" t="str">
        <x:v>Conviene guardar captura de precio antes de comprar.</x:v>
      </x:c>
    </x:row>
    <x:row r="9" ht="15" hidden="0" customHeight="1">
      <x:c r="C9" t="str">
        <x:v>Pasivos</x:v>
      </x:c>
    </x:row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.600000381469727" hidden="0" customHeight="1">
      <x:c r="A1" s="64" t="str">
        <x:v>Resumen de proveedores considerados</x:v>
      </x:c>
      <x:c r="B1" t="str"/>
      <x:c r="C1" t="str"/>
      <x:c r="D1" t="str"/>
      <x:c r="E1" t="str"/>
      <x:c r="F1" t="str"/>
      <x:c r="G1" t="str"/>
      <x:c r="H1" t="str"/>
    </x:row>
    <x:row r="2"/>
    <x:row r="3"/>
    <x:row r="4" ht="15" hidden="0" customHeight="1">
      <x:c r="A4" s="43" t="str">
        <x:v>Proveedor</x:v>
      </x:c>
      <x:c r="B4" s="43" t="str">
        <x:v>Partidas</x:v>
      </x:c>
      <x:c r="C4" s="43" t="str">
        <x:v>Monto estimado MXN</x:v>
      </x:c>
      <x:c r="D4" s="43" t="str">
        <x:v>Tipo</x:v>
      </x:c>
      <x:c r="E4" s="43" t="str">
        <x:v>Ventaja</x:v>
      </x:c>
      <x:c r="F4" s="43" t="str">
        <x:v>Riesgo</x:v>
      </x:c>
      <x:c r="G4" s="43" t="str">
        <x:v>Evidencia requerida</x:v>
      </x:c>
      <x:c r="H4" s="43" t="str">
        <x:v>Observaciones</x:v>
      </x:c>
    </x:row>
    <x:row r="5" ht="15" hidden="0" customHeight="1">
      <x:c r="A5" s="26" t="str">
        <x:v>Aelectronics</x:v>
      </x:c>
      <x:c r="B5" s="26" t="n">
        <x:f>COUNTIF(Control_Compras!F5:F29,A5)</x:f>
        <x:v>4</x:v>
      </x:c>
      <x:c r="C5" s="27" t="n">
        <x:f>SUMIF(Control_Compras!F5:F29,A5,Control_Compras!N5:N29)</x:f>
        <x:v>38.86</x:v>
      </x:c>
      <x:c r="D5" s="26" t="str">
        <x:v>Nacional / local</x:v>
      </x:c>
      <x:c r="E5" s="26" t="str">
        <x:v>Compra rápida y costo de envío menor</x:v>
      </x:c>
      <x:c r="F5" s="26" t="str">
        <x:v>Puede variar disponibilidad local</x:v>
      </x:c>
      <x:c r="G5" s="26" t="str">
        <x:v>Captura de precio y enlace</x:v>
      </x:c>
      <x:c r="H5" s="26" t="str">
        <x:v>Revisar antes de emitir compra</x:v>
      </x:c>
    </x:row>
    <x:row r="6" ht="15" hidden="0" customHeight="1">
      <x:c r="A6" s="26" t="str">
        <x:v>INTESC</x:v>
      </x:c>
      <x:c r="B6" s="26" t="n">
        <x:f>COUNTIF(Control_Compras!F5:F29,A6)</x:f>
        <x:v>10</x:v>
      </x:c>
      <x:c r="C6" s="27" t="n">
        <x:f>SUMIF(Control_Compras!F5:F29,A6,Control_Compras!N5:N29)</x:f>
        <x:v>22.039999999999992</x:v>
      </x:c>
      <x:c r="D6" s="26" t="str">
        <x:v>Nacional / local</x:v>
      </x:c>
      <x:c r="E6" s="26" t="str">
        <x:v>Compra rápida y costo de envío menor</x:v>
      </x:c>
      <x:c r="F6" s="26" t="str">
        <x:v>Puede variar disponibilidad local</x:v>
      </x:c>
      <x:c r="G6" s="26" t="str">
        <x:v>Captura de precio y enlace</x:v>
      </x:c>
      <x:c r="H6" s="26" t="str">
        <x:v>Revisar antes de emitir compra</x:v>
      </x:c>
    </x:row>
    <x:row r="7" ht="15" hidden="0" customHeight="1">
      <x:c r="A7" s="26" t="str">
        <x:v>Idea Electrónica</x:v>
      </x:c>
      <x:c r="B7" s="26" t="n">
        <x:f>COUNTIF(Control_Compras!F5:F29,A7)</x:f>
        <x:v>2</x:v>
      </x:c>
      <x:c r="C7" s="27" t="n">
        <x:f>SUMIF(Control_Compras!F5:F29,A7,Control_Compras!N5:N29)</x:f>
        <x:v>12.76</x:v>
      </x:c>
      <x:c r="D7" s="26" t="str">
        <x:v>Nacional / local</x:v>
      </x:c>
      <x:c r="E7" s="26" t="str">
        <x:v>Compra rápida y costo de envío menor</x:v>
      </x:c>
      <x:c r="F7" s="26" t="str">
        <x:v>Puede variar disponibilidad local</x:v>
      </x:c>
      <x:c r="G7" s="26" t="str">
        <x:v>Captura de precio y enlace</x:v>
      </x:c>
      <x:c r="H7" s="26" t="str">
        <x:v>Revisar antes de emitir compra</x:v>
      </x:c>
    </x:row>
    <x:row r="8" ht="15" hidden="0" customHeight="1">
      <x:c r="A8" s="26" t="str">
        <x:v>LCSC</x:v>
      </x:c>
      <x:c r="B8" s="26" t="n">
        <x:f>COUNTIF(Control_Compras!F5:F29,A8)</x:f>
        <x:v>1</x:v>
      </x:c>
      <x:c r="C8" s="27" t="n">
        <x:f>SUMIF(Control_Compras!F5:F29,A8,Control_Compras!N5:N29)</x:f>
        <x:v>11.635612</x:v>
      </x:c>
      <x:c r="D8" s="26" t="str">
        <x:v>Internacional</x:v>
      </x:c>
      <x:c r="E8" s="26" t="str">
        <x:v>Stock especializado</x:v>
      </x:c>
      <x:c r="F8" s="26" t="str">
        <x:v>Tiempo de entrega y posible comisión</x:v>
      </x:c>
      <x:c r="G8" s="26" t="str">
        <x:v>Captura de precio y enlace</x:v>
      </x:c>
      <x:c r="H8" s="26" t="str">
        <x:v>Revisar antes de emitir compra</x:v>
      </x:c>
    </x:row>
    <x:row r="9" ht="15" hidden="0" customHeight="1">
      <x:c r="A9" s="26" t="str">
        <x:v>Mouser</x:v>
      </x:c>
      <x:c r="B9" s="26" t="n">
        <x:f>COUNTIF(Control_Compras!F5:F29,A9)</x:f>
        <x:v>1</x:v>
      </x:c>
      <x:c r="C9" s="27" t="n">
        <x:f>SUMIF(Control_Compras!F5:F29,A9,Control_Compras!N5:N29)</x:f>
        <x:v>22.318400000000004</x:v>
      </x:c>
      <x:c r="D9" s="26" t="str">
        <x:v>Internacional</x:v>
      </x:c>
      <x:c r="E9" s="26" t="str">
        <x:v>Stock especializado</x:v>
      </x:c>
      <x:c r="F9" s="26" t="str">
        <x:v>Tiempo de entrega y posible comisión</x:v>
      </x:c>
      <x:c r="G9" s="26" t="str">
        <x:v>Captura de precio y enlace</x:v>
      </x:c>
      <x:c r="H9" s="26" t="str">
        <x:v>Revisar antes de emitir compra</x:v>
      </x:c>
    </x:row>
    <x:row r="10" ht="15" hidden="0" customHeight="1">
      <x:c r="A10" s="26" t="str">
        <x:v>Mouser México</x:v>
      </x:c>
      <x:c r="B10" s="26" t="n">
        <x:f>COUNTIF(Control_Compras!F5:F29,A10)</x:f>
        <x:v>1</x:v>
      </x:c>
      <x:c r="C10" s="27" t="n">
        <x:f>SUMIF(Control_Compras!F5:F29,A10,Control_Compras!N5:N29)</x:f>
        <x:v>100.4328</x:v>
      </x:c>
      <x:c r="D10" s="26" t="str">
        <x:v>Internacional</x:v>
      </x:c>
      <x:c r="E10" s="26" t="str">
        <x:v>Stock especializado</x:v>
      </x:c>
      <x:c r="F10" s="26" t="str">
        <x:v>Tiempo de entrega y posible comisión</x:v>
      </x:c>
      <x:c r="G10" s="26" t="str">
        <x:v>Captura de precio y enlace</x:v>
      </x:c>
      <x:c r="H10" s="26" t="str">
        <x:v>Revisar antes de emitir compra</x:v>
      </x:c>
    </x:row>
    <x:row r="11" ht="15" hidden="0" customHeight="1">
      <x:c r="A11" s="26" t="str">
        <x:v>Rantec</x:v>
      </x:c>
      <x:c r="B11" s="26" t="n">
        <x:f>COUNTIF(Control_Compras!F5:F29,A11)</x:f>
        <x:v>1</x:v>
      </x:c>
      <x:c r="C11" s="27" t="n">
        <x:f>SUMIF(Control_Compras!F5:F29,A11,Control_Compras!N5:N29)</x:f>
        <x:v>5.8</x:v>
      </x:c>
      <x:c r="D11" s="26" t="str">
        <x:v>Nacional / local</x:v>
      </x:c>
      <x:c r="E11" s="26" t="str">
        <x:v>Compra rápida y costo de envío menor</x:v>
      </x:c>
      <x:c r="F11" s="26" t="str">
        <x:v>Puede variar disponibilidad local</x:v>
      </x:c>
      <x:c r="G11" s="26" t="str">
        <x:v>Captura de precio y enlace</x:v>
      </x:c>
      <x:c r="H11" s="26" t="str">
        <x:v>Revisar antes de emitir compra</x:v>
      </x:c>
    </x:row>
    <x:row r="12" ht="15" hidden="0" customHeight="1">
      <x:c r="A12" s="26" t="str">
        <x:v>SIEEG</x:v>
      </x:c>
      <x:c r="B12" s="26" t="n">
        <x:f>COUNTIF(Control_Compras!F5:F29,A12)</x:f>
        <x:v>1</x:v>
      </x:c>
      <x:c r="C12" s="27" t="n">
        <x:f>SUMIF(Control_Compras!F5:F29,A12,Control_Compras!N5:N29)</x:f>
        <x:v>4.64</x:v>
      </x:c>
      <x:c r="D12" s="26" t="str">
        <x:v>Nacional / local</x:v>
      </x:c>
      <x:c r="E12" s="26" t="str">
        <x:v>Compra rápida y costo de envío menor</x:v>
      </x:c>
      <x:c r="F12" s="26" t="str">
        <x:v>Puede variar disponibilidad local</x:v>
      </x:c>
      <x:c r="G12" s="26" t="str">
        <x:v>Captura de precio y enlace</x:v>
      </x:c>
      <x:c r="H12" s="26" t="str">
        <x:v>Revisar antes de emitir compra</x:v>
      </x:c>
    </x:row>
    <x:row r="13" ht="15" hidden="0" customHeight="1">
      <x:c r="A13" s="26" t="str">
        <x:v>SparkFun</x:v>
      </x:c>
      <x:c r="B13" s="26" t="n">
        <x:f>COUNTIF(Control_Compras!F5:F29,A13)</x:f>
        <x:v>1</x:v>
      </x:c>
      <x:c r="C13" s="27" t="n">
        <x:f>SUMIF(Control_Compras!F5:F29,A13,Control_Compras!N5:N29)</x:f>
        <x:v>41.846999999999994</x:v>
      </x:c>
      <x:c r="D13" s="26" t="str">
        <x:v>Internacional</x:v>
      </x:c>
      <x:c r="E13" s="26" t="str">
        <x:v>Stock especializado</x:v>
      </x:c>
      <x:c r="F13" s="26" t="str">
        <x:v>Tiempo de entrega y posible comisión</x:v>
      </x:c>
      <x:c r="G13" s="26" t="str">
        <x:v>Captura de precio y enlace</x:v>
      </x:c>
      <x:c r="H13" s="26" t="str">
        <x:v>Revisar antes de emitir compra</x:v>
      </x:c>
    </x:row>
    <x:row r="14" ht="15" hidden="0" customHeight="1">
      <x:c r="A14" s="26" t="str">
        <x:v>Teknomovo</x:v>
      </x:c>
      <x:c r="B14" s="26" t="n">
        <x:f>COUNTIF(Control_Compras!F5:F29,A14)</x:f>
        <x:v>1</x:v>
      </x:c>
      <x:c r="C14" s="27" t="n">
        <x:f>SUMIF(Control_Compras!F5:F29,A14,Control_Compras!N5:N29)</x:f>
        <x:v>5.22</x:v>
      </x:c>
      <x:c r="D14" s="26" t="str">
        <x:v>Nacional / local</x:v>
      </x:c>
      <x:c r="E14" s="26" t="str">
        <x:v>Compra rápida y costo de envío menor</x:v>
      </x:c>
      <x:c r="F14" s="26" t="str">
        <x:v>Puede variar disponibilidad local</x:v>
      </x:c>
      <x:c r="G14" s="26" t="str">
        <x:v>Captura de precio y enlace</x:v>
      </x:c>
      <x:c r="H14" s="26" t="str">
        <x:v>Revisar antes de emitir compra</x:v>
      </x:c>
    </x:row>
    <x:row r="15" ht="15" hidden="0" customHeight="1">
      <x:c r="A15" s="26" t="str">
        <x:v>Uelectronics</x:v>
      </x:c>
      <x:c r="B15" s="26" t="n">
        <x:f>COUNTIF(Control_Compras!F5:F29,A15)</x:f>
        <x:v>2</x:v>
      </x:c>
      <x:c r="C15" s="27" t="n">
        <x:f>SUMIF(Control_Compras!F5:F29,A15,Control_Compras!N5:N29)</x:f>
        <x:v>1.7399999999999998</x:v>
      </x:c>
      <x:c r="D15" s="26" t="str">
        <x:v>Nacional / local</x:v>
      </x:c>
      <x:c r="E15" s="26" t="str">
        <x:v>Compra rápida y costo de envío menor</x:v>
      </x:c>
      <x:c r="F15" s="26" t="str">
        <x:v>Puede variar disponibilidad local</x:v>
      </x:c>
      <x:c r="G15" s="26" t="str">
        <x:v>Captura de precio y enlace</x:v>
      </x:c>
      <x:c r="H15" s="26" t="str">
        <x:v>Revisar antes de emitir compra</x:v>
      </x:c>
    </x:row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74b9955ac614e4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15.600000381469727" hidden="0" customHeight="1">
      <x:c r="A1" s="64" t="str">
        <x:v>Control de evidencias administrativas</x:v>
      </x:c>
      <x:c r="B1" t="str"/>
      <x:c r="C1" t="str"/>
      <x:c r="D1" t="str"/>
      <x:c r="E1" t="str"/>
      <x:c r="F1" t="str"/>
      <x:c r="G1" t="str"/>
      <x:c r="H1" t="str"/>
      <x:c r="I1" t="str"/>
    </x:row>
    <x:row r="2"/>
    <x:row r="3" ht="15" hidden="0" customHeight="1">
      <x:c r="A3" s="43" t="str">
        <x:v>No.</x:v>
      </x:c>
      <x:c r="B3" s="43" t="str">
        <x:v>Componente</x:v>
      </x:c>
      <x:c r="C3" s="43" t="str">
        <x:v>Tipo de evidencia</x:v>
      </x:c>
      <x:c r="D3" s="43" t="str">
        <x:v>Archivo o ruta</x:v>
      </x:c>
      <x:c r="E3" s="43" t="str">
        <x:v>Fecha</x:v>
      </x:c>
      <x:c r="F3" s="43" t="str">
        <x:v>Proveedor</x:v>
      </x:c>
      <x:c r="G3" s="43" t="str">
        <x:v>Responsable</x:v>
      </x:c>
      <x:c r="H3" s="43" t="str">
        <x:v>Estado</x:v>
      </x:c>
      <x:c r="I3" s="43" t="str">
        <x:v>Observaciones</x:v>
      </x:c>
    </x:row>
    <x:row r="4" ht="15" hidden="0" customHeight="1">
      <x:c r="A4" s="26" t="n">
        <x:v>1</x:v>
      </x:c>
      <x:c r="B4" s="26" t="str">
        <x:v>Microcontrolador PIC32MX220F032D-I/PT</x:v>
      </x:c>
      <x:c r="C4" s="26" t="str">
        <x:v>Captura de cotización</x:v>
      </x:c>
      <x:c r="D4" s="26" t="str">
        <x:v>evidencias_administrativas/cotizaciones_componentes/01_U1.png</x:v>
      </x:c>
      <x:c r="E4" s="28"/>
      <x:c r="F4" s="26" t="str">
        <x:v>Mouser México</x:v>
      </x:c>
      <x:c r="G4" s="26" t="str">
        <x:v>Costos/organización</x:v>
      </x:c>
      <x:c r="H4" s="26" t="str">
        <x:v>Pendiente</x:v>
      </x:c>
      <x:c r="I4" s="26" t="str">
        <x:v>Guardar captura antes de compra</x:v>
      </x:c>
    </x:row>
    <x:row r="5" ht="15" hidden="0" customHeight="1">
      <x:c r="A5" s="26" t="n">
        <x:v>2</x:v>
      </x:c>
      <x:c r="B5" s="26" t="str">
        <x:v>Conector USB Mini-B SMD, USB-MINI</x:v>
      </x:c>
      <x:c r="C5" s="26" t="str">
        <x:v>Captura de cotización</x:v>
      </x:c>
      <x:c r="D5" s="26" t="str">
        <x:v>evidencias_administrativas/cotizaciones_componentes/02_USB_DEV.png</x:v>
      </x:c>
      <x:c r="E5" s="28"/>
      <x:c r="F5" s="26" t="str">
        <x:v>SparkFun</x:v>
      </x:c>
      <x:c r="G5" s="26" t="str">
        <x:v>Costos/organización</x:v>
      </x:c>
      <x:c r="H5" s="26" t="str">
        <x:v>Pendiente</x:v>
      </x:c>
      <x:c r="I5" s="26" t="str">
        <x:v>Guardar captura antes de compra</x:v>
      </x:c>
    </x:row>
    <x:row r="6" ht="15" hidden="0" customHeight="1">
      <x:c r="A6" s="26" t="n">
        <x:v>3</x:v>
      </x:c>
      <x:c r="B6" s="26" t="str">
        <x:v>Conector de batería Li-Po 3.7 V, 2 pines DW02R</x:v>
      </x:c>
      <x:c r="C6" s="26" t="str">
        <x:v>Captura de cotización</x:v>
      </x:c>
      <x:c r="D6" s="26" t="str">
        <x:v>evidencias_administrativas/cotizaciones_componentes/03_3.7V-LI_BAT.png</x:v>
      </x:c>
      <x:c r="E6" s="28"/>
      <x:c r="F6" s="26" t="str">
        <x:v>INTESC</x:v>
      </x:c>
      <x:c r="G6" s="26" t="str">
        <x:v>Costos/organización</x:v>
      </x:c>
      <x:c r="H6" s="26" t="str">
        <x:v>Pendiente</x:v>
      </x:c>
      <x:c r="I6" s="26" t="str">
        <x:v>Guardar captura antes de compra</x:v>
      </x:c>
    </x:row>
    <x:row r="7" ht="15" hidden="0" customHeight="1">
      <x:c r="A7" s="26" t="n">
        <x:v>4</x:v>
      </x:c>
      <x:c r="B7" s="26" t="str">
        <x:v>Jack/conector de alimentación 5 VDC YDJ-1136</x:v>
      </x:c>
      <x:c r="C7" s="26" t="str">
        <x:v>Captura de cotización</x:v>
      </x:c>
      <x:c r="D7" s="26" t="str">
        <x:v>evidencias_administrativas/cotizaciones_componentes/04_PWR.png</x:v>
      </x:c>
      <x:c r="E7" s="28"/>
      <x:c r="F7" s="26" t="str">
        <x:v>Idea Electrónica</x:v>
      </x:c>
      <x:c r="G7" s="26" t="str">
        <x:v>Costos/organización</x:v>
      </x:c>
      <x:c r="H7" s="26" t="str">
        <x:v>Pendiente</x:v>
      </x:c>
      <x:c r="I7" s="26" t="str">
        <x:v>Guardar captura antes de compra</x:v>
      </x:c>
    </x:row>
    <x:row r="8" ht="15" hidden="0" customHeight="1">
      <x:c r="A8" s="26" t="n">
        <x:v>5</x:v>
      </x:c>
      <x:c r="B8" s="26" t="str">
        <x:v>Diodo Schottky BAT54C, SMD</x:v>
      </x:c>
      <x:c r="C8" s="26" t="str">
        <x:v>Captura de cotización</x:v>
      </x:c>
      <x:c r="D8" s="26" t="str">
        <x:v>evidencias_administrativas/cotizaciones_componentes/05_D1.png</x:v>
      </x:c>
      <x:c r="E8" s="28"/>
      <x:c r="F8" s="26" t="str">
        <x:v>Teknomovo</x:v>
      </x:c>
      <x:c r="G8" s="26" t="str">
        <x:v>Costos/organización</x:v>
      </x:c>
      <x:c r="H8" s="26" t="str">
        <x:v>Pendiente</x:v>
      </x:c>
      <x:c r="I8" s="26" t="str">
        <x:v>Guardar captura antes de compra</x:v>
      </x:c>
    </x:row>
    <x:row r="9" ht="15" hidden="0" customHeight="1">
      <x:c r="A9" s="26" t="n">
        <x:v>6</x:v>
      </x:c>
      <x:c r="B9" s="26" t="str">
        <x:v>Regulador LDO 3.3 V MCP1700T-3302E/MB</x:v>
      </x:c>
      <x:c r="C9" s="26" t="str">
        <x:v>Captura de cotización</x:v>
      </x:c>
      <x:c r="D9" s="26" t="str">
        <x:v>evidencias_administrativas/cotizaciones_componentes/06_VR2.png</x:v>
      </x:c>
      <x:c r="E9" s="28"/>
      <x:c r="F9" s="26" t="str">
        <x:v>LCSC</x:v>
      </x:c>
      <x:c r="G9" s="26" t="str">
        <x:v>Costos/organización</x:v>
      </x:c>
      <x:c r="H9" s="26" t="str">
        <x:v>Pendiente</x:v>
      </x:c>
      <x:c r="I9" s="26" t="str">
        <x:v>Guardar captura antes de compra</x:v>
      </x:c>
    </x:row>
    <x:row r="10" ht="15" hidden="0" customHeight="1">
      <x:c r="A10" s="26" t="n">
        <x:v>7</x:v>
      </x:c>
      <x:c r="B10" s="26" t="str">
        <x:v>Regulador ajustable LM1117IMPX-ADJ</x:v>
      </x:c>
      <x:c r="C10" s="26" t="str">
        <x:v>Captura de cotización</x:v>
      </x:c>
      <x:c r="D10" s="26" t="str">
        <x:v>evidencias_administrativas/cotizaciones_componentes/07_VR1.png</x:v>
      </x:c>
      <x:c r="E10" s="28"/>
      <x:c r="F10" s="26" t="str">
        <x:v>Mouser</x:v>
      </x:c>
      <x:c r="G10" s="26" t="str">
        <x:v>Costos/organización</x:v>
      </x:c>
      <x:c r="H10" s="26" t="str">
        <x:v>Pendiente</x:v>
      </x:c>
      <x:c r="I10" s="26" t="str">
        <x:v>Guardar captura antes de compra</x:v>
      </x:c>
    </x:row>
    <x:row r="11" ht="15" hidden="0" customHeight="1">
      <x:c r="A11" s="26" t="n">
        <x:v>8</x:v>
      </x:c>
      <x:c r="B11" s="26" t="str">
        <x:v>Cristal de cuarzo 8.000 MHz HC-49SM SMD, 20 pF, 20 ppm</x:v>
      </x:c>
      <x:c r="C11" s="26" t="str">
        <x:v>Captura de cotización</x:v>
      </x:c>
      <x:c r="D11" s="26" t="str">
        <x:v>evidencias_administrativas/cotizaciones_componentes/08_Q1.png</x:v>
      </x:c>
      <x:c r="E11" s="28"/>
      <x:c r="F11" s="26" t="str">
        <x:v>INTESC</x:v>
      </x:c>
      <x:c r="G11" s="26" t="str">
        <x:v>Costos/organización</x:v>
      </x:c>
      <x:c r="H11" s="26" t="str">
        <x:v>Pendiente</x:v>
      </x:c>
      <x:c r="I11" s="26" t="str">
        <x:v>Guardar captura antes de compra</x:v>
      </x:c>
    </x:row>
    <x:row r="12" ht="15" hidden="0" customHeight="1">
      <x:c r="A12" s="26" t="n">
        <x:v>9</x:v>
      </x:c>
      <x:c r="B12" s="26" t="str">
        <x:v>LED verde SMD 0603</x:v>
      </x:c>
      <x:c r="C12" s="26" t="str">
        <x:v>Captura de cotización</x:v>
      </x:c>
      <x:c r="D12" s="26" t="str">
        <x:v>evidencias_administrativas/cotizaciones_componentes/09_LED1.png</x:v>
      </x:c>
      <x:c r="E12" s="28"/>
      <x:c r="F12" s="26" t="str">
        <x:v>Aelectronics</x:v>
      </x:c>
      <x:c r="G12" s="26" t="str">
        <x:v>Costos/organización</x:v>
      </x:c>
      <x:c r="H12" s="26" t="str">
        <x:v>Pendiente</x:v>
      </x:c>
      <x:c r="I12" s="26" t="str">
        <x:v>Guardar captura antes de compra</x:v>
      </x:c>
    </x:row>
    <x:row r="13" ht="15" hidden="0" customHeight="1">
      <x:c r="A13" s="26" t="n">
        <x:v>10</x:v>
      </x:c>
      <x:c r="B13" s="26" t="str">
        <x:v>LED rojo SMD 0603</x:v>
      </x:c>
      <x:c r="C13" s="26" t="str">
        <x:v>Captura de cotización</x:v>
      </x:c>
      <x:c r="D13" s="26" t="str">
        <x:v>evidencias_administrativas/cotizaciones_componentes/10_LED2.png</x:v>
      </x:c>
      <x:c r="E13" s="28"/>
      <x:c r="F13" s="26" t="str">
        <x:v>Uelectronics</x:v>
      </x:c>
      <x:c r="G13" s="26" t="str">
        <x:v>Costos/organización</x:v>
      </x:c>
      <x:c r="H13" s="26" t="str">
        <x:v>Pendiente</x:v>
      </x:c>
      <x:c r="I13" s="26" t="str">
        <x:v>Guardar captura antes de compra</x:v>
      </x:c>
    </x:row>
    <x:row r="14" ht="15" hidden="0" customHeight="1">
      <x:c r="A14" s="26" t="n">
        <x:v>11</x:v>
      </x:c>
      <x:c r="B14" s="26" t="str">
        <x:v>Botón pulsador táctil SMD T1107A 6 x 3.8 x 2.5 mm</x:v>
      </x:c>
      <x:c r="C14" s="26" t="str">
        <x:v>Captura de cotización</x:v>
      </x:c>
      <x:c r="D14" s="26" t="str">
        <x:v>evidencias_administrativas/cotizaciones_componentes/11_BUT, RST.png</x:v>
      </x:c>
      <x:c r="E14" s="28"/>
      <x:c r="F14" s="26" t="str">
        <x:v>SIEEG</x:v>
      </x:c>
      <x:c r="G14" s="26" t="str">
        <x:v>Costos/organización</x:v>
      </x:c>
      <x:c r="H14" s="26" t="str">
        <x:v>Pendiente</x:v>
      </x:c>
      <x:c r="I14" s="26" t="str">
        <x:v>Guardar captura antes de compra</x:v>
      </x:c>
    </x:row>
    <x:row r="15" ht="15" hidden="0" customHeight="1">
      <x:c r="A15" s="26" t="n">
        <x:v>12</x:v>
      </x:c>
      <x:c r="B15" s="26" t="str">
        <x:v>Conector UEXT BH10R, 10 pines</x:v>
      </x:c>
      <x:c r="C15" s="26" t="str">
        <x:v>Captura de cotización</x:v>
      </x:c>
      <x:c r="D15" s="26" t="str">
        <x:v>evidencias_administrativas/cotizaciones_componentes/12_UEXT.png</x:v>
      </x:c>
      <x:c r="E15" s="28"/>
      <x:c r="F15" s="26" t="str">
        <x:v>Idea Electrónica</x:v>
      </x:c>
      <x:c r="G15" s="26" t="str">
        <x:v>Costos/organización</x:v>
      </x:c>
      <x:c r="H15" s="26" t="str">
        <x:v>Pendiente</x:v>
      </x:c>
      <x:c r="I15" s="26" t="str">
        <x:v>Guardar captura antes de compra</x:v>
      </x:c>
    </x:row>
    <x:row r="16" ht="15" hidden="0" customHeight="1">
      <x:c r="A16" s="26" t="n">
        <x:v>13</x:v>
      </x:c>
      <x:c r="B16" s="26" t="str">
        <x:v>Header ICSP WF6S, 6 pines</x:v>
      </x:c>
      <x:c r="C16" s="26" t="str">
        <x:v>Captura de cotización</x:v>
      </x:c>
      <x:c r="D16" s="26" t="str">
        <x:v>evidencias_administrativas/cotizaciones_componentes/13_ICSP.png</x:v>
      </x:c>
      <x:c r="E16" s="28"/>
      <x:c r="F16" s="26" t="str">
        <x:v>INTESC</x:v>
      </x:c>
      <x:c r="G16" s="26" t="str">
        <x:v>Costos/organización</x:v>
      </x:c>
      <x:c r="H16" s="26" t="str">
        <x:v>Pendiente</x:v>
      </x:c>
      <x:c r="I16" s="26" t="str">
        <x:v>Guardar captura antes de compra</x:v>
      </x:c>
    </x:row>
    <x:row r="17" ht="15" hidden="0" customHeight="1">
      <x:c r="A17" s="26" t="n">
        <x:v>14</x:v>
      </x:c>
      <x:c r="B17" s="26" t="str">
        <x:v>Juego de headers Arduino: 2 x PN1x8 + 2 x PN1x6</x:v>
      </x:c>
      <x:c r="C17" s="26" t="str">
        <x:v>Captura de cotización</x:v>
      </x:c>
      <x:c r="D17" s="26" t="str">
        <x:v>evidencias_administrativas/cotizaciones_componentes/14_CON1, CON2, CON4, CON5.png</x:v>
      </x:c>
      <x:c r="E17" s="28"/>
      <x:c r="F17" s="26" t="str">
        <x:v>Rantec</x:v>
      </x:c>
      <x:c r="G17" s="26" t="str">
        <x:v>Costos/organización</x:v>
      </x:c>
      <x:c r="H17" s="26" t="str">
        <x:v>Pendiente</x:v>
      </x:c>
      <x:c r="I17" s="26" t="str">
        <x:v>Guardar captura antes de compra</x:v>
      </x:c>
    </x:row>
    <x:row r="18" ht="15" hidden="0" customHeight="1">
      <x:c r="A18" s="26" t="n">
        <x:v>15</x:v>
      </x:c>
      <x:c r="B18" s="26" t="str">
        <x:v>Resistencia SMD 240 Ω, 1%</x:v>
      </x:c>
      <x:c r="C18" s="26" t="str">
        <x:v>Captura de cotización</x:v>
      </x:c>
      <x:c r="D18" s="26" t="str">
        <x:v>evidencias_administrativas/cotizaciones_componentes/15_R1.png</x:v>
      </x:c>
      <x:c r="E18" s="28"/>
      <x:c r="F18" s="26" t="str">
        <x:v>INTESC</x:v>
      </x:c>
      <x:c r="G18" s="26" t="str">
        <x:v>Costos/organización</x:v>
      </x:c>
      <x:c r="H18" s="26" t="str">
        <x:v>Pendiente</x:v>
      </x:c>
      <x:c r="I18" s="26" t="str">
        <x:v>Guardar captura antes de compra</x:v>
      </x:c>
    </x:row>
    <x:row r="19" ht="15" hidden="0" customHeight="1">
      <x:c r="A19" s="26" t="n">
        <x:v>16</x:v>
      </x:c>
      <x:c r="B19" s="26" t="str">
        <x:v>Resistencia SMD 390 Ω, 1%</x:v>
      </x:c>
      <x:c r="C19" s="26" t="str">
        <x:v>Captura de cotización</x:v>
      </x:c>
      <x:c r="D19" s="26" t="str">
        <x:v>evidencias_administrativas/cotizaciones_componentes/16_R2.png</x:v>
      </x:c>
      <x:c r="E19" s="28"/>
      <x:c r="F19" s="26" t="str">
        <x:v>INTESC</x:v>
      </x:c>
      <x:c r="G19" s="26" t="str">
        <x:v>Costos/organización</x:v>
      </x:c>
      <x:c r="H19" s="26" t="str">
        <x:v>Pendiente</x:v>
      </x:c>
      <x:c r="I19" s="26" t="str">
        <x:v>Guardar captura antes de compra</x:v>
      </x:c>
    </x:row>
    <x:row r="20" ht="15" hidden="0" customHeight="1">
      <x:c r="A20" s="26" t="n">
        <x:v>17</x:v>
      </x:c>
      <x:c r="B20" s="26" t="str">
        <x:v>Resistencia SMD 2 kΩ</x:v>
      </x:c>
      <x:c r="C20" s="26" t="str">
        <x:v>Captura de cotización</x:v>
      </x:c>
      <x:c r="D20" s="26" t="str">
        <x:v>evidencias_administrativas/cotizaciones_componentes/17_R3, R4.png</x:v>
      </x:c>
      <x:c r="E20" s="28"/>
      <x:c r="F20" s="26" t="str">
        <x:v>INTESC</x:v>
      </x:c>
      <x:c r="G20" s="26" t="str">
        <x:v>Costos/organización</x:v>
      </x:c>
      <x:c r="H20" s="26" t="str">
        <x:v>Pendiente</x:v>
      </x:c>
      <x:c r="I20" s="26" t="str">
        <x:v>Guardar captura antes de compra</x:v>
      </x:c>
    </x:row>
    <x:row r="21" ht="15" hidden="0" customHeight="1">
      <x:c r="A21" s="26" t="n">
        <x:v>18</x:v>
      </x:c>
      <x:c r="B21" s="26" t="str">
        <x:v>Resistencia SMD 4.7 kΩ</x:v>
      </x:c>
      <x:c r="C21" s="26" t="str">
        <x:v>Captura de cotización</x:v>
      </x:c>
      <x:c r="D21" s="26" t="str">
        <x:v>evidencias_administrativas/cotizaciones_componentes/18_R5, R6, R8, R9.png</x:v>
      </x:c>
      <x:c r="E21" s="28"/>
      <x:c r="F21" s="26" t="str">
        <x:v>INTESC</x:v>
      </x:c>
      <x:c r="G21" s="26" t="str">
        <x:v>Costos/organización</x:v>
      </x:c>
      <x:c r="H21" s="26" t="str">
        <x:v>Pendiente</x:v>
      </x:c>
      <x:c r="I21" s="26" t="str">
        <x:v>Guardar captura antes de compra</x:v>
      </x:c>
    </x:row>
    <x:row r="22" ht="15" hidden="0" customHeight="1">
      <x:c r="A22" s="26" t="n">
        <x:v>19</x:v>
      </x:c>
      <x:c r="B22" s="26" t="str">
        <x:v>Resistencia SMD 4.7 kΩ, opcional/NA</x:v>
      </x:c>
      <x:c r="C22" s="26" t="str">
        <x:v>Captura de cotización</x:v>
      </x:c>
      <x:c r="D22" s="26" t="str">
        <x:v>evidencias_administrativas/cotizaciones_componentes/19_R opcionales.png</x:v>
      </x:c>
      <x:c r="E22" s="28"/>
      <x:c r="F22" s="26" t="str">
        <x:v>INTESC</x:v>
      </x:c>
      <x:c r="G22" s="26" t="str">
        <x:v>Costos/organización</x:v>
      </x:c>
      <x:c r="H22" s="26" t="str">
        <x:v>Pendiente</x:v>
      </x:c>
      <x:c r="I22" s="26" t="str">
        <x:v>Guardar captura antes de compra</x:v>
      </x:c>
    </x:row>
    <x:row r="23" ht="15" hidden="0" customHeight="1">
      <x:c r="A23" s="26" t="n">
        <x:v>20</x:v>
      </x:c>
      <x:c r="B23" s="26" t="str">
        <x:v>Resistencia SMD 33 kΩ</x:v>
      </x:c>
      <x:c r="C23" s="26" t="str">
        <x:v>Captura de cotización</x:v>
      </x:c>
      <x:c r="D23" s="26" t="str">
        <x:v>evidencias_administrativas/cotizaciones_componentes/20_R7.png</x:v>
      </x:c>
      <x:c r="E23" s="28"/>
      <x:c r="F23" s="26" t="str">
        <x:v>INTESC</x:v>
      </x:c>
      <x:c r="G23" s="26" t="str">
        <x:v>Costos/organización</x:v>
      </x:c>
      <x:c r="H23" s="26" t="str">
        <x:v>Pendiente</x:v>
      </x:c>
      <x:c r="I23" s="26" t="str">
        <x:v>Guardar captura antes de compra</x:v>
      </x:c>
    </x:row>
    <x:row r="24" ht="15" hidden="0" customHeight="1">
      <x:c r="A24" s="26" t="n">
        <x:v>21</x:v>
      </x:c>
      <x:c r="B24" s="26" t="str">
        <x:v>Resistencia SMD 0 Ω / jumper, Board Mounted</x:v>
      </x:c>
      <x:c r="C24" s="26" t="str">
        <x:v>Captura de cotización</x:v>
      </x:c>
      <x:c r="D24" s="26" t="str">
        <x:v>evidencias_administrativas/cotizaciones_componentes/21_Jumper.png</x:v>
      </x:c>
      <x:c r="E24" s="28"/>
      <x:c r="F24" s="26" t="str">
        <x:v>INTESC</x:v>
      </x:c>
      <x:c r="G24" s="26" t="str">
        <x:v>Costos/organización</x:v>
      </x:c>
      <x:c r="H24" s="26" t="str">
        <x:v>Pendiente</x:v>
      </x:c>
      <x:c r="I24" s="26" t="str">
        <x:v>Guardar captura antes de compra</x:v>
      </x:c>
    </x:row>
    <x:row r="25" ht="15" hidden="0" customHeight="1">
      <x:c r="A25" s="26" t="n">
        <x:v>22</x:v>
      </x:c>
      <x:c r="B25" s="26" t="str">
        <x:v>Capacitor cerámico SMD 100 nF</x:v>
      </x:c>
      <x:c r="C25" s="26" t="str">
        <x:v>Captura de cotización</x:v>
      </x:c>
      <x:c r="D25" s="26" t="str">
        <x:v>evidencias_administrativas/cotizaciones_componentes/22_C varios.png</x:v>
      </x:c>
      <x:c r="E25" s="28"/>
      <x:c r="F25" s="26" t="str">
        <x:v>Aelectronics</x:v>
      </x:c>
      <x:c r="G25" s="26" t="str">
        <x:v>Costos/organización</x:v>
      </x:c>
      <x:c r="H25" s="26" t="str">
        <x:v>Pendiente</x:v>
      </x:c>
      <x:c r="I25" s="26" t="str">
        <x:v>Guardar captura antes de compra</x:v>
      </x:c>
    </x:row>
    <x:row r="26" ht="15" hidden="0" customHeight="1">
      <x:c r="A26" s="26" t="n">
        <x:v>23</x:v>
      </x:c>
      <x:c r="B26" s="26" t="str">
        <x:v>Capacitor SMD 10 µF / 10 V</x:v>
      </x:c>
      <x:c r="C26" s="26" t="str">
        <x:v>Captura de cotización</x:v>
      </x:c>
      <x:c r="D26" s="26" t="str">
        <x:v>evidencias_administrativas/cotizaciones_componentes/23_C varios.png</x:v>
      </x:c>
      <x:c r="E26" s="28"/>
      <x:c r="F26" s="26" t="str">
        <x:v>Aelectronics</x:v>
      </x:c>
      <x:c r="G26" s="26" t="str">
        <x:v>Costos/organización</x:v>
      </x:c>
      <x:c r="H26" s="26" t="str">
        <x:v>Pendiente</x:v>
      </x:c>
      <x:c r="I26" s="26" t="str">
        <x:v>Guardar captura antes de compra</x:v>
      </x:c>
    </x:row>
    <x:row r="27" ht="15" hidden="0" customHeight="1">
      <x:c r="A27" s="26" t="n">
        <x:v>24</x:v>
      </x:c>
      <x:c r="B27" s="26" t="str">
        <x:v>Capacitor cerámico SMD 20 pF</x:v>
      </x:c>
      <x:c r="C27" s="26" t="str">
        <x:v>Captura de cotización</x:v>
      </x:c>
      <x:c r="D27" s="26" t="str">
        <x:v>evidencias_administrativas/cotizaciones_componentes/24_C cristal.png</x:v>
      </x:c>
      <x:c r="E27" s="28"/>
      <x:c r="F27" s="26" t="str">
        <x:v>Uelectronics</x:v>
      </x:c>
      <x:c r="G27" s="26" t="str">
        <x:v>Costos/organización</x:v>
      </x:c>
      <x:c r="H27" s="26" t="str">
        <x:v>Pendiente</x:v>
      </x:c>
      <x:c r="I27" s="26" t="str">
        <x:v>Guardar captura antes de compra</x:v>
      </x:c>
    </x:row>
    <x:row r="28" ht="15" hidden="0" customHeight="1">
      <x:c r="A28" s="26" t="n">
        <x:v>25</x:v>
      </x:c>
      <x:c r="B28" s="26" t="str">
        <x:v>Capacitor cerámico SMD 10 nF</x:v>
      </x:c>
      <x:c r="C28" s="26" t="str">
        <x:v>Captura de cotización</x:v>
      </x:c>
      <x:c r="D28" s="26" t="str">
        <x:v>evidencias_administrativas/cotizaciones_componentes/25_C filtro.png</x:v>
      </x:c>
      <x:c r="E28" s="28"/>
      <x:c r="F28" s="26" t="str">
        <x:v>Aelectronics</x:v>
      </x:c>
      <x:c r="G28" s="26" t="str">
        <x:v>Costos/organización</x:v>
      </x:c>
      <x:c r="H28" s="26" t="str">
        <x:v>Pendiente</x:v>
      </x:c>
      <x:c r="I28" s="26" t="str">
        <x:v>Guardar captura antes de compra</x:v>
      </x:c>
    </x:row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mergeCells>
    <x:mergeCell ref="A1:I1"/>
  </x:mergeCells>
  <x:dataValidations count="1">
    <x:dataValidation type="list" sqref="H4:H60">
      <x:formula1>Catalogos!$F$2:$F$4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c03e9a895944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.600000381469727" hidden="0" customHeight="1">
      <x:c r="A1" s="64" t="str">
        <x:v>Notas de control y criterios de llenado</x:v>
      </x:c>
      <x:c r="B1" t="str"/>
      <x:c r="C1" t="str"/>
      <x:c r="D1" t="str"/>
      <x:c r="E1" t="str"/>
      <x:c r="F1" t="str"/>
    </x:row>
    <x:row r="2"/>
    <x:row r="3" ht="15" hidden="0" customHeight="1">
      <x:c r="A3" s="43" t="str">
        <x:v>Punto</x:v>
      </x:c>
      <x:c r="B3" s="43" t="str">
        <x:v>Criterio</x:v>
      </x:c>
      <x:c r="C3" s="43" t="str">
        <x:v>Detalle</x:v>
      </x:c>
      <x:c r="D3" s="43" t="str">
        <x:v>Responsable</x:v>
      </x:c>
      <x:c r="E3" s="43" t="str">
        <x:v>Estado</x:v>
      </x:c>
      <x:c r="F3" s="43" t="str">
        <x:v>Observación</x:v>
      </x:c>
    </x:row>
    <x:row r="4" ht="15" hidden="0" customHeight="1">
      <x:c r="A4" s="26" t="n">
        <x:v>1</x:v>
      </x:c>
      <x:c r="B4" s="26" t="str">
        <x:v>Actualización de precios</x:v>
      </x:c>
      <x:c r="C4" s="26" t="str">
        <x:v>Actualizar precio y fecha cuando se consulte nuevamente el proveedor.</x:v>
      </x:c>
      <x:c r="D4" s="26" t="str">
        <x:v>Costos/organización</x:v>
      </x:c>
      <x:c r="E4" s="26" t="str">
        <x:v>Pendiente</x:v>
      </x:c>
      <x:c r="F4" s="26" t="str">
        <x:v>No borrar precios anteriores; usar bitácora si cambia mucho.</x:v>
      </x:c>
    </x:row>
    <x:row r="5" ht="15" hidden="0" customHeight="1">
      <x:c r="A5" s="26" t="n">
        <x:v>2</x:v>
      </x:c>
      <x:c r="B5" s="26" t="str">
        <x:v>Validación de compra</x:v>
      </x:c>
      <x:c r="C5" s="26" t="str">
        <x:v>No cambiar a Comprado sin fecha, cantidad y evidencia.</x:v>
      </x:c>
      <x:c r="D5" s="26" t="str">
        <x:v>Costos/organización</x:v>
      </x:c>
      <x:c r="E5" s="26" t="str">
        <x:v>Pendiente</x:v>
      </x:c>
      <x:c r="F5" s="26" t="str">
        <x:v>Guardar captura o comprobante.</x:v>
      </x:c>
    </x:row>
    <x:row r="6" ht="15" hidden="0" customHeight="1">
      <x:c r="A6" s="26" t="n">
        <x:v>3</x:v>
      </x:c>
      <x:c r="B6" s="26" t="str">
        <x:v>Recepción</x:v>
      </x:c>
      <x:c r="C6" s="26" t="str">
        <x:v>Marcar como Recibido solo cuando la cantidad física coincida.</x:v>
      </x:c>
      <x:c r="D6" s="26" t="str">
        <x:v>Equipo</x:v>
      </x:c>
      <x:c r="E6" s="26" t="str">
        <x:v>Pendiente</x:v>
      </x:c>
      <x:c r="F6" s="26" t="str">
        <x:v>Registrar faltantes en observaciones.</x:v>
      </x:c>
    </x:row>
    <x:row r="7" ht="15" hidden="0" customHeight="1">
      <x:c r="A7" s="26" t="n">
        <x:v>4</x:v>
      </x:c>
      <x:c r="B7" s="26" t="str">
        <x:v>Componentes opcionales</x:v>
      </x:c>
      <x:c r="C7" s="26" t="str">
        <x:v>Mantener En revisión si no se confirma que se montarán.</x:v>
      </x:c>
      <x:c r="D7" s="26" t="str">
        <x:v>Equipo hardware</x:v>
      </x:c>
      <x:c r="E7" s="26" t="str">
        <x:v>Pendiente</x:v>
      </x:c>
      <x:c r="F7" s="26" t="str">
        <x:v>Aplica a PWR, VR1 y resistencias opcionales.</x:v>
      </x:c>
    </x:row>
    <x:row r="8" ht="15" hidden="0" customHeight="1">
      <x:c r="A8" s="26" t="n">
        <x:v>5</x:v>
      </x:c>
      <x:c r="B8" s="26" t="str">
        <x:v>Tipo de cambio</x:v>
      </x:c>
      <x:c r="C8" s="26" t="str">
        <x:v>El tipo de cambio está en Resumen y afecta partidas en USD.</x:v>
      </x:c>
      <x:c r="D8" s="26" t="str">
        <x:v>Costos/organización</x:v>
      </x:c>
      <x:c r="E8" s="26" t="str">
        <x:v>Pendiente</x:v>
      </x:c>
      <x:c r="F8" s="26" t="str">
        <x:v>Modificar B7 si se usa otro valor.</x:v>
      </x:c>
    </x:row>
    <x:row r="9" ht="15" hidden="0" customHeight="1">
      <x:c r="A9" s="26" t="n">
        <x:v>6</x:v>
      </x:c>
      <x:c r="B9" s="26" t="str">
        <x:v>IVA</x:v>
      </x:c>
      <x:c r="C9" s="26" t="str">
        <x:v>Se calcula como estimado administrativo; ajustar si el proveedor ya incluye impuestos.</x:v>
      </x:c>
      <x:c r="D9" s="26" t="str">
        <x:v>Costos/organización</x:v>
      </x:c>
      <x:c r="E9" s="26" t="str">
        <x:v>Pendiente</x:v>
      </x:c>
      <x:c r="F9" s="26" t="str">
        <x:v>Puede desactivarse dejando 0% en Resumen B8.</x:v>
      </x:c>
    </x:row>
    <x:row r="10" ht="15" hidden="0" customHeight="1">
      <x:c r="A10" s="26" t="n">
        <x:v>7</x:v>
      </x:c>
      <x:c r="B10" s="26" t="str">
        <x:v>Envíos</x:v>
      </x:c>
      <x:c r="C10" s="26" t="str">
        <x:v>El envío asignado está en cero hasta definir compra consolidada.</x:v>
      </x:c>
      <x:c r="D10" s="26" t="str">
        <x:v>Costos/organización</x:v>
      </x:c>
      <x:c r="E10" s="26" t="str">
        <x:v>Pendiente</x:v>
      </x:c>
      <x:c r="F10" s="26" t="str">
        <x:v>Se puede prorratear por proveedor.</x:v>
      </x:c>
    </x:row>
    <x:row r="11" ht="15" hidden="0" customHeight="1">
      <x:c r="A11" s="26" t="n">
        <x:v>8</x:v>
      </x:c>
      <x:c r="B11" s="26" t="str">
        <x:v>Sustituciones</x:v>
      </x:c>
      <x:c r="C11" s="26" t="str">
        <x:v>Si se usa sustituto, debe registrarse en la matriz de sustitutos.</x:v>
      </x:c>
      <x:c r="D11" s="26" t="str">
        <x:v>Costos/organización</x:v>
      </x:c>
      <x:c r="E11" s="26" t="str">
        <x:v>Pendiente</x:v>
      </x:c>
      <x:c r="F11" s="26" t="str">
        <x:v>Actualizar referencia en observaciones.</x:v>
      </x:c>
    </x:row>
    <x:row r="12" ht="15" hidden="0" customHeight="1">
      <x:c r="A12" s="26" t="n">
        <x:v>9</x:v>
      </x:c>
      <x:c r="B12" s="26" t="str">
        <x:v>Evidencias</x:v>
      </x:c>
      <x:c r="C12" s="26" t="str">
        <x:v>Cada precio debe tener enlace y captura relacionada.</x:v>
      </x:c>
      <x:c r="D12" s="26" t="str">
        <x:v>Costos/organización</x:v>
      </x:c>
      <x:c r="E12" s="26" t="str">
        <x:v>Pendiente</x:v>
      </x:c>
      <x:c r="F12" s="26" t="str">
        <x:v>Usar carpeta de evidencias administrativas.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a27fbba957f4b9f"/>
  </x:tableParts>
</x:worksheet>
</file>