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E8A8A566-E8B2-4660-A17B-9C601A1D1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 Viabilidad" sheetId="1" r:id="rId1"/>
    <sheet name="Fu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B7" i="1"/>
  <c r="G6" i="1"/>
  <c r="B6" i="1"/>
  <c r="G5" i="1"/>
  <c r="G4" i="1"/>
  <c r="B8" i="1" s="1"/>
  <c r="B9" i="1" s="1"/>
  <c r="G3" i="1"/>
</calcChain>
</file>

<file path=xl/sharedStrings.xml><?xml version="1.0" encoding="utf-8"?>
<sst xmlns="http://schemas.openxmlformats.org/spreadsheetml/2006/main" count="66" uniqueCount="63">
  <si>
    <t>Indicador</t>
  </si>
  <si>
    <t>Valor</t>
  </si>
  <si>
    <t>Unidad</t>
  </si>
  <si>
    <t>Criterio</t>
  </si>
  <si>
    <t>Peso</t>
  </si>
  <si>
    <t>Calificación (1-5)</t>
  </si>
  <si>
    <t>Puntaje ponderado</t>
  </si>
  <si>
    <t>Total estimado del proyecto</t>
  </si>
  <si>
    <t>MXN</t>
  </si>
  <si>
    <t>Costo total</t>
  </si>
  <si>
    <t>Costo estimado por prototipo</t>
  </si>
  <si>
    <t>MXN/prototipo</t>
  </si>
  <si>
    <t>Disponibilidad de materiales</t>
  </si>
  <si>
    <t>Presupuesto disponible</t>
  </si>
  <si>
    <t>Tiempo de adquisición</t>
  </si>
  <si>
    <t>Diferencia contra presupuesto</t>
  </si>
  <si>
    <t>Evidencia documental</t>
  </si>
  <si>
    <t>Margen de contingencia sugerido</t>
  </si>
  <si>
    <t>Riesgo de incremento de precios</t>
  </si>
  <si>
    <t>Índice de viabilidad</t>
  </si>
  <si>
    <t>puntos</t>
  </si>
  <si>
    <t>Escala de interpretación</t>
  </si>
  <si>
    <t>1 a 5</t>
  </si>
  <si>
    <t>Mayor puntaje = mayor viabilidad</t>
  </si>
  <si>
    <t>Resultado calculado</t>
  </si>
  <si>
    <t>Resultado</t>
  </si>
  <si>
    <t>Dictamen</t>
  </si>
  <si>
    <t>Condición</t>
  </si>
  <si>
    <t>≥3.5 viable</t>
  </si>
  <si>
    <t>3.0 a 3.49 requiere control</t>
  </si>
  <si>
    <t>&lt;3.0 requiere ajuste</t>
  </si>
  <si>
    <t>Observación general</t>
  </si>
  <si>
    <t>El proyecto se considera viable siempre que se controle el riesgo de variación de precios, disponibilidad de materiales y tiempos de entrega.</t>
  </si>
  <si>
    <t>Administrativo</t>
  </si>
  <si>
    <t>Actualizar cotizaciones</t>
  </si>
  <si>
    <t>Conservar evidencias</t>
  </si>
  <si>
    <t>Revisar proveedores alternos</t>
  </si>
  <si>
    <t>Notas de interpretación</t>
  </si>
  <si>
    <t>El índice de viabilidad se obtiene a partir de criterios ponderados: costo total, disponibilidad, tiempo, evidencia documental y riesgo de incremento de precios.</t>
  </si>
  <si>
    <t>La diferencia contra presupuesto se calcula con la fórmula: Presupuesto disponible menos total estimado del proyecto.</t>
  </si>
  <si>
    <t>El margen de contingencia sugerido considera 15% del total estimado para cubrir variaciones de precios, envíos o cambios administrativos.</t>
  </si>
  <si>
    <t>Fuente</t>
  </si>
  <si>
    <t>Archivo / referencia</t>
  </si>
  <si>
    <t>Uso en el análisis</t>
  </si>
  <si>
    <t>Observación</t>
  </si>
  <si>
    <t>Documento de alcance y comunidad</t>
  </si>
  <si>
    <t>ALCANCE Y COMUNIDAD PARA PINGÜINO.docx</t>
  </si>
  <si>
    <t>Justificación del uso educativo y comunidad beneficiada</t>
  </si>
  <si>
    <t>Tarjeta Pingüino de 32 bits basada en PIC32</t>
  </si>
  <si>
    <t>Tabla de materiales</t>
  </si>
  <si>
    <t>tabla_materiales_pic32_pinguino(1).xlsx</t>
  </si>
  <si>
    <t>Estimación de costos del prototipo</t>
  </si>
  <si>
    <t>Se utilizó para calcular el total estimado</t>
  </si>
  <si>
    <t>Proveedores PCB</t>
  </si>
  <si>
    <t>proveedores_fabricacion_pcb(1).xlsx</t>
  </si>
  <si>
    <t>Comparación de opciones de fabricación y respaldo</t>
  </si>
  <si>
    <t>Sirve para controlar riesgos administrativos</t>
  </si>
  <si>
    <t>Criterios administrativos</t>
  </si>
  <si>
    <t>Presupuesto, disponibilidad, tiempos, evidencias y riesgos</t>
  </si>
  <si>
    <t>Construcción del índice de viabilidad</t>
  </si>
  <si>
    <t>Escala cualitativa y ponderada</t>
  </si>
  <si>
    <t xml:space="preserve">Análisis de viabilidad económica del proyecto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</si>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</sst>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F172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64E63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abilidadTable" displayName="ViabilidadTable" ref="A2:G10">
  <tableColumns count="7">
    <tableColumn id="1" xr3:uid="{00000000-0010-0000-0000-000001000000}" name="Indicador"/>
    <tableColumn id="2" xr3:uid="{00000000-0010-0000-0000-000002000000}" name="Valor"/>
    <tableColumn id="3" xr3:uid="{00000000-0010-0000-0000-000003000000}" name="Unidad"/>
    <tableColumn id="4" xr3:uid="{00000000-0010-0000-0000-000004000000}" name="Criterio"/>
    <tableColumn id="5" xr3:uid="{00000000-0010-0000-0000-000005000000}" name="Peso"/>
    <tableColumn id="6" xr3:uid="{00000000-0010-0000-0000-000006000000}" name="Calificación (1-5)"/>
    <tableColumn id="7" xr3:uid="{00000000-0010-0000-0000-000007000000}" name="Puntaje ponder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entesTable" displayName="FuentesTable" ref="A1:D5">
  <tableColumns count="4">
    <tableColumn id="1" xr3:uid="{00000000-0010-0000-0100-000001000000}" name="Fuente"/>
    <tableColumn id="2" xr3:uid="{00000000-0010-0000-0100-000002000000}" name="Archivo / referencia"/>
    <tableColumn id="3" xr3:uid="{00000000-0010-0000-0100-000003000000}" name="Uso en el análisis"/>
    <tableColumn id="4" xr3:uid="{00000000-0010-0000-0100-000004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10" sqref="D10"/>
    </sheetView>
  </sheetViews>
  <sheetFormatPr baseColWidth="10" defaultColWidth="8.796875" defaultRowHeight="13.8"/>
  <cols>
    <col min="1" max="1" width="28" customWidth="1"/>
    <col min="2" max="2" width="22" customWidth="1"/>
    <col min="3" max="3" width="18" customWidth="1"/>
    <col min="4" max="4" width="30" customWidth="1"/>
    <col min="5" max="5" width="18" customWidth="1"/>
    <col min="6" max="7" width="24" customWidth="1"/>
  </cols>
  <sheetData>
    <row r="1" spans="1:7" ht="13.35" customHeight="1">
      <c r="A1" s="7" t="s">
        <v>61</v>
      </c>
      <c r="B1" s="8"/>
      <c r="C1" s="8"/>
      <c r="D1" s="8"/>
      <c r="E1" s="8"/>
      <c r="F1" s="8"/>
      <c r="G1" s="8"/>
    </row>
    <row r="2" spans="1:7" ht="12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8" customHeight="1">
      <c r="A3" s="4" t="s">
        <v>7</v>
      </c>
      <c r="B3" s="5">
        <v>1337.51827</v>
      </c>
      <c r="C3" s="4" t="s">
        <v>8</v>
      </c>
      <c r="D3" s="4" t="s">
        <v>9</v>
      </c>
      <c r="E3" s="11">
        <v>0.3</v>
      </c>
      <c r="F3" s="12">
        <v>4</v>
      </c>
      <c r="G3" s="13">
        <f>E3*F3</f>
        <v>1.2</v>
      </c>
    </row>
    <row r="4" spans="1:7" ht="21" customHeight="1">
      <c r="A4" s="4" t="s">
        <v>10</v>
      </c>
      <c r="B4" s="5">
        <v>1337.51827</v>
      </c>
      <c r="C4" s="4" t="s">
        <v>11</v>
      </c>
      <c r="D4" s="4" t="s">
        <v>12</v>
      </c>
      <c r="E4" s="11">
        <v>0.2</v>
      </c>
      <c r="F4" s="12">
        <v>3</v>
      </c>
      <c r="G4" s="13">
        <f>E4*F4</f>
        <v>0.60000000000000009</v>
      </c>
    </row>
    <row r="5" spans="1:7" ht="20.399999999999999" customHeight="1">
      <c r="A5" s="4" t="s">
        <v>13</v>
      </c>
      <c r="B5" s="5">
        <v>2500</v>
      </c>
      <c r="C5" s="4" t="s">
        <v>8</v>
      </c>
      <c r="D5" s="4" t="s">
        <v>14</v>
      </c>
      <c r="E5" s="11">
        <v>0.2</v>
      </c>
      <c r="F5" s="12">
        <v>3</v>
      </c>
      <c r="G5" s="13">
        <f>E5*F5</f>
        <v>0.60000000000000009</v>
      </c>
    </row>
    <row r="6" spans="1:7" ht="23.4" customHeight="1">
      <c r="A6" s="4" t="s">
        <v>15</v>
      </c>
      <c r="B6" s="5">
        <f>B5-B3</f>
        <v>1162.48173</v>
      </c>
      <c r="C6" s="4" t="s">
        <v>8</v>
      </c>
      <c r="D6" s="4" t="s">
        <v>16</v>
      </c>
      <c r="E6" s="11">
        <v>0.15</v>
      </c>
      <c r="F6" s="12">
        <v>4</v>
      </c>
      <c r="G6" s="13">
        <f>E6*F6</f>
        <v>0.6</v>
      </c>
    </row>
    <row r="7" spans="1:7" ht="22.2" customHeight="1">
      <c r="A7" s="4" t="s">
        <v>17</v>
      </c>
      <c r="B7" s="5">
        <f>B3*0.15</f>
        <v>200.62774049999999</v>
      </c>
      <c r="C7" s="4" t="s">
        <v>8</v>
      </c>
      <c r="D7" s="4" t="s">
        <v>18</v>
      </c>
      <c r="E7" s="11">
        <v>0.15</v>
      </c>
      <c r="F7" s="12">
        <v>3</v>
      </c>
      <c r="G7" s="13">
        <f>E7*F7</f>
        <v>0.44999999999999996</v>
      </c>
    </row>
    <row r="8" spans="1:7" ht="30.6" customHeight="1">
      <c r="A8" s="4" t="s">
        <v>19</v>
      </c>
      <c r="B8" s="6">
        <f>SUM(G3:G7)</f>
        <v>3.45</v>
      </c>
      <c r="C8" s="4" t="s">
        <v>20</v>
      </c>
      <c r="D8" s="4" t="s">
        <v>21</v>
      </c>
      <c r="E8" s="12" t="s">
        <v>22</v>
      </c>
      <c r="F8" s="12" t="s">
        <v>23</v>
      </c>
      <c r="G8" s="13" t="s">
        <v>24</v>
      </c>
    </row>
    <row r="9" spans="1:7" ht="21.15" customHeight="1">
      <c r="A9" s="4" t="s">
        <v>25</v>
      </c>
      <c r="B9" s="4" t="str">
        <f>IF(B8&gt;=3.5,"Viable",IF(B8&gt;=3,"Viable con control de riesgos","No viable sin ajustes"))</f>
        <v>Viable con control de riesgos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</row>
    <row r="10" spans="1:7" ht="73.95" customHeight="1">
      <c r="A10" s="4" t="s">
        <v>31</v>
      </c>
      <c r="B10" s="4" t="s">
        <v>32</v>
      </c>
      <c r="C10" s="4" t="s">
        <v>33</v>
      </c>
      <c r="D10" s="4" t="s">
        <v>62</v>
      </c>
      <c r="E10" s="4" t="s">
        <v>34</v>
      </c>
      <c r="F10" s="4" t="s">
        <v>35</v>
      </c>
      <c r="G10" s="4" t="s">
        <v>36</v>
      </c>
    </row>
    <row r="12" spans="1:7">
      <c r="A12" s="9" t="s">
        <v>37</v>
      </c>
      <c r="B12" s="8"/>
      <c r="C12" s="8"/>
      <c r="D12" s="8"/>
      <c r="E12" s="8"/>
      <c r="F12" s="8"/>
      <c r="G12" s="8"/>
    </row>
    <row r="13" spans="1:7" ht="28.8" customHeight="1">
      <c r="A13" s="10" t="s">
        <v>38</v>
      </c>
      <c r="B13" s="8"/>
      <c r="C13" s="8"/>
      <c r="D13" s="8"/>
      <c r="E13" s="8"/>
      <c r="F13" s="8"/>
      <c r="G13" s="8"/>
    </row>
    <row r="14" spans="1:7" ht="28.8" customHeight="1">
      <c r="A14" s="10" t="s">
        <v>39</v>
      </c>
      <c r="B14" s="8"/>
      <c r="C14" s="8"/>
      <c r="D14" s="8"/>
      <c r="E14" s="8"/>
      <c r="F14" s="8"/>
      <c r="G14" s="8"/>
    </row>
    <row r="15" spans="1:7" ht="28.8" customHeight="1">
      <c r="A15" s="10" t="s">
        <v>40</v>
      </c>
      <c r="B15" s="8"/>
      <c r="C15" s="8"/>
      <c r="D15" s="8"/>
      <c r="E15" s="8"/>
      <c r="F15" s="8"/>
      <c r="G15" s="8"/>
    </row>
  </sheetData>
  <mergeCells count="5">
    <mergeCell ref="A1:G1"/>
    <mergeCell ref="A12:G12"/>
    <mergeCell ref="A13:G13"/>
    <mergeCell ref="A14:G14"/>
    <mergeCell ref="A15:G1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796875" defaultRowHeight="13.8"/>
  <cols>
    <col min="1" max="1" width="28" customWidth="1"/>
    <col min="2" max="2" width="38" customWidth="1"/>
    <col min="3" max="3" width="42" customWidth="1"/>
    <col min="4" max="4" width="38" customWidth="1"/>
  </cols>
  <sheetData>
    <row r="1" spans="1:4">
      <c r="A1" s="1" t="s">
        <v>41</v>
      </c>
      <c r="B1" s="1" t="s">
        <v>42</v>
      </c>
      <c r="C1" s="1" t="s">
        <v>43</v>
      </c>
      <c r="D1" s="1" t="s">
        <v>44</v>
      </c>
    </row>
    <row r="2" spans="1:4" ht="27.6">
      <c r="A2" s="3" t="s">
        <v>45</v>
      </c>
      <c r="B2" s="3" t="s">
        <v>46</v>
      </c>
      <c r="C2" s="3" t="s">
        <v>47</v>
      </c>
      <c r="D2" s="3" t="s">
        <v>48</v>
      </c>
    </row>
    <row r="3" spans="1:4">
      <c r="A3" s="3" t="s">
        <v>49</v>
      </c>
      <c r="B3" s="3" t="s">
        <v>50</v>
      </c>
      <c r="C3" s="3" t="s">
        <v>51</v>
      </c>
      <c r="D3" s="3" t="s">
        <v>52</v>
      </c>
    </row>
    <row r="4" spans="1:4" ht="27.6">
      <c r="A4" s="3" t="s">
        <v>53</v>
      </c>
      <c r="B4" s="3" t="s">
        <v>54</v>
      </c>
      <c r="C4" s="3" t="s">
        <v>55</v>
      </c>
      <c r="D4" s="3" t="s">
        <v>56</v>
      </c>
    </row>
    <row r="5" spans="1:4" ht="27.6">
      <c r="A5" s="3" t="s">
        <v>57</v>
      </c>
      <c r="B5" s="3" t="s">
        <v>58</v>
      </c>
      <c r="C5" s="3" t="s">
        <v>59</v>
      </c>
      <c r="D5" s="3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21 Viabilidad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sasuke1254987 1254987</cp:lastModifiedBy>
  <dcterms:modified xsi:type="dcterms:W3CDTF">2026-06-06T22:24:12Z</dcterms:modified>
</cp:coreProperties>
</file>