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1ba216cd4848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2adb2dbd6f184396"/>
    <x:sheet xmlns:r="http://schemas.openxmlformats.org/officeDocument/2006/relationships" name="Componentes" sheetId="2" r:id="Rf69019f04e4b4612"/>
    <x:sheet xmlns:r="http://schemas.openxmlformats.org/officeDocument/2006/relationships" name="Criterios" sheetId="3" r:id="R3b5e680b784b4724"/>
    <x:sheet xmlns:r="http://schemas.openxmlformats.org/officeDocument/2006/relationships" name="Acciones" sheetId="4" r:id="R8b3a6520cd9a4b21"/>
    <x:sheet xmlns:r="http://schemas.openxmlformats.org/officeDocument/2006/relationships" name="Fuentes" sheetId="5" r:id="R146953c9d12a4e65"/>
    <x:sheet xmlns:r="http://schemas.openxmlformats.org/officeDocument/2006/relationships" name="Historial" sheetId="6" r:id="R2c68da12deed49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F1F1F"/>
      <x:name val="Carlito"/>
    </x:font>
    <x:font>
      <x:b/>
      <x:sz val="14"/>
      <x:color rgb="FFFFFFFF"/>
      <x:name val="Carlito"/>
    </x:font>
    <x:font>
      <x:b/>
      <x:sz val="10"/>
      <x:color rgb="FFFFFFFF"/>
      <x:name val="Calibri"/>
    </x:font>
    <x:font>
      <x:sz val="1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horizontal="center"/>
    </x:xf>
    <x:xf numFmtId="201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6" fillId="2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6" fillId="2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/>
    <x:xf numFmtId="0" fontId="6" fillId="2" borderId="0" xfId="0" applyNumberFormat="1" applyFont="1" applyFill="1" applyBorder="1" applyAlignment="1">
      <x:alignment horizontal="center" vertic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horizontal="center" wrapText="1"/>
    </x:xf>
    <x:xf numFmtId="0" fontId="7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horizont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3"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7E6E6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7E6E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3502325d064bd6" /><Relationship Type="http://schemas.openxmlformats.org/officeDocument/2006/relationships/theme" Target="/xl/theme/theme1.xml" Id="Rf2660a44370c484c" /><Relationship Type="http://schemas.openxmlformats.org/officeDocument/2006/relationships/sharedStrings" Target="/xl/sharedStrings.xml" Id="R4d164515faaa4bbe" /><Relationship Type="http://schemas.openxmlformats.org/officeDocument/2006/relationships/worksheet" Target="/xl/worksheets/sheet1.xml" Id="R2adb2dbd6f184396" /><Relationship Type="http://schemas.openxmlformats.org/officeDocument/2006/relationships/worksheet" Target="/xl/worksheets/sheet2.xml" Id="Rf69019f04e4b4612" /><Relationship Type="http://schemas.openxmlformats.org/officeDocument/2006/relationships/worksheet" Target="/xl/worksheets/sheet3.xml" Id="R3b5e680b784b4724" /><Relationship Type="http://schemas.openxmlformats.org/officeDocument/2006/relationships/worksheet" Target="/xl/worksheets/sheet4.xml" Id="R8b3a6520cd9a4b21" /><Relationship Type="http://schemas.openxmlformats.org/officeDocument/2006/relationships/worksheet" Target="/xl/worksheets/sheet5.xml" Id="R146953c9d12a4e65" /><Relationship Type="http://schemas.openxmlformats.org/officeDocument/2006/relationships/worksheet" Target="/xl/worksheets/sheet6.xml" Id="R2c68da12deed491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b1707fb9bdb4023" /><Relationship Type="http://schemas.openxmlformats.org/officeDocument/2006/relationships/chart" Target="/xl/drawings/charts/chart2.xml" Id="R1e1e1a44e79b4725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Conteo</c:v>
          </c:tx>
          <c:cat>
            <c:strRef>
              <c:f>'Resumen'!$D$5:$D$8</c:f>
              <c:strCache>
                <c:ptCount val="0"/>
              </c:strCache>
            </c:strRef>
          </c:cat>
          <c:val>
            <c:numRef>
              <c:f>'Resumen'!$E$5:$E$8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Valor</c:v>
          </c:tx>
          <c:cat>
            <c:strRef>
              <c:f>'Resumen'!$D$13:$D$16</c:f>
              <c:strCache>
                <c:ptCount val="0"/>
              </c:strCache>
            </c:strRef>
          </c:cat>
          <c:val>
            <c:numRef>
              <c:f>'Resumen'!$E$13:$E$16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11</xdr:row>
      <xdr:rowOff>0</xdr:rowOff>
    </xdr:from>
    <xdr:ext cx="4000500" cy="2857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b1707fb9bdb4023"/>
        </a:graphicData>
      </a:graphic>
    </xdr:graphicFrame>
    <xdr:clientData/>
  </xdr:oneCellAnchor>
  <xdr:oneCellAnchor>
    <xdr:from>
      <xdr:col>3</xdr:col>
      <xdr:colOff>0</xdr:colOff>
      <xdr:row>17</xdr:row>
      <xdr:rowOff>0</xdr:rowOff>
    </xdr:from>
    <xdr:ext cx="4953000" cy="28575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e1e1a44e79b4725"/>
        </a:graphicData>
      </a:graphic>
    </xdr:graphicFrame>
    <xdr:clientData/>
  </xdr:oneCellAnchor>
</xdr:wsDr>
</file>

<file path=xl/tables/table1.xml><?xml version="1.0" encoding="utf-8"?>
<x:table xmlns:x="http://schemas.openxmlformats.org/spreadsheetml/2006/main" id="1" name="TablaComponentesCriticos" displayName="TablaComponentesCriticos" ref="A1:O26" headerRowCount="1">
  <x:tableColumns count="15">
    <x:tableColumn id="1" name="No."/>
    <x:tableColumn id="2" name="Cant."/>
    <x:tableColumn id="3" name="Ref."/>
    <x:tableColumn id="4" name="Componente"/>
    <x:tableColumn id="5" name="Función en la tarjeta"/>
    <x:tableColumn id="6" name="Bloque"/>
    <x:tableColumn id="7" name="Criticidad"/>
    <x:tableColumn id="8" name="Impacto si falta/falla"/>
    <x:tableColumn id="9" name="Dificultad de sustitución"/>
    <x:tableColumn id="10" name="Impacto en PCB"/>
    <x:tableColumn id="11" name="Prioridad de compra"/>
    <x:tableColumn id="12" name="Stock sugerido"/>
    <x:tableColumn id="13" name="Validación antes de compra"/>
    <x:tableColumn id="14" name="Acción recomendada / motivo"/>
    <x:tableColumn id="15" name="Fuente"/>
  </x:tableColumns>
  <x:tableStyleInfo name="TableStyleMedium2" showRowStripes="1"/>
</x:table>
</file>

<file path=xl/tables/table2.xml><?xml version="1.0" encoding="utf-8"?>
<x:table xmlns:x="http://schemas.openxmlformats.org/spreadsheetml/2006/main" id="2" name="TablaCriterios" displayName="TablaCriterios" ref="A3:F7" headerRowCount="1">
  <x:tableColumns count="6">
    <x:tableColumn id="1" name="Clasificación"/>
    <x:tableColumn id="2" name="Descripción"/>
    <x:tableColumn id="3" name="Ejemplos del proyecto"/>
    <x:tableColumn id="4" name="Impacto si no se compra"/>
    <x:tableColumn id="5" name="Dificultad de sustitución"/>
    <x:tableColumn id="6" name="Recomendación"/>
  </x:tableColumns>
  <x:tableStyleInfo name="TableStyleMedium2" showRowStripes="1"/>
</x:table>
</file>

<file path=xl/tables/table3.xml><?xml version="1.0" encoding="utf-8"?>
<x:table xmlns:x="http://schemas.openxmlformats.org/spreadsheetml/2006/main" id="3" name="TablaAcciones" displayName="TablaAcciones" ref="A3:G8" headerRowCount="1">
  <x:tableColumns count="7">
    <x:tableColumn id="1" name="Prioridad"/>
    <x:tableColumn id="2" name="Qué incluye"/>
    <x:tableColumn id="3" name="Acción sugerida"/>
    <x:tableColumn id="4" name="Responsable"/>
    <x:tableColumn id="5" name="Evidencia esperada"/>
    <x:tableColumn id="6" name="Estado"/>
    <x:tableColumn id="7" name="Observaciones"/>
  </x:tableColumns>
  <x:tableStyleInfo name="TableStyleMedium2" showRowStripes="1"/>
</x:table>
</file>

<file path=xl/tables/table4.xml><?xml version="1.0" encoding="utf-8"?>
<x:table xmlns:x="http://schemas.openxmlformats.org/spreadsheetml/2006/main" id="4" name="TablaFuentesCriticidad" displayName="TablaFuentesCriticidad" ref="A3:E28" headerRowCount="1">
  <x:tableColumns count="5">
    <x:tableColumn id="1" name="No."/>
    <x:tableColumn id="2" name="Referencia"/>
    <x:tableColumn id="3" name="Componente"/>
    <x:tableColumn id="4" name="Proveedor / sitio"/>
    <x:tableColumn id="5" name="URL"/>
  </x:tableColumns>
  <x:tableStyleInfo name="TableStyleMedium2" showRowStripes="1"/>
</x:table>
</file>

<file path=xl/tables/table5.xml><?xml version="1.0" encoding="utf-8"?>
<x:table xmlns:x="http://schemas.openxmlformats.org/spreadsheetml/2006/main" id="5" name="TablaHistorialCriticidad" displayName="TablaHistorialCriticidad" ref="A3:E6" headerRowCount="1">
  <x:tableColumns count="5">
    <x:tableColumn id="1" name="Versión"/>
    <x:tableColumn id="2" name="Fecha"/>
    <x:tableColumn id="3" name="Cambio realizado"/>
    <x:tableColumn id="4" name="Responsable"/>
    <x:tableColumn id="5" name="Observacion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0ed4d99c3b6469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8863984003487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f7a8a08dc024d7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57751caa91f425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4d84b14a19f4f8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ba80aff34f44a6c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2" hidden="0" customWidth="1"/>
    <x:col min="3" max="3" width="20" hidden="0" customWidth="1"/>
    <x:col min="4" max="4" width="18" hidden="0" customWidth="1"/>
    <x:col min="5" max="5" width="16" hidden="0" customWidth="1"/>
    <x:col min="6" max="6" width="18" hidden="0" customWidth="1"/>
    <x:col min="7" max="7" width="26" hidden="0" customWidth="1"/>
    <x:col min="8" max="8" width="24" hidden="0" customWidth="1"/>
  </x:cols>
  <x:sheetData>
    <x:row r="1" ht="28" customHeight="1">
      <x:c r="A1" s="52" t="str">
        <x:v>31. Componentes críticos y no críticos — PIC32-PINGUINO-MX220</x:v>
      </x:c>
      <x:c r="B1" s="60"/>
      <x:c r="C1" s="60"/>
      <x:c r="D1" s="60"/>
      <x:c r="E1" s="60"/>
      <x:c r="F1" s="60"/>
      <x:c r="G1" s="60"/>
      <x:c r="H1" s="60"/>
      <x:c r="I1" s="49"/>
      <x:c r="J1" s="49"/>
      <x:c r="K1" s="49"/>
      <x:c r="L1" s="49"/>
      <x:c r="M1" s="49"/>
      <x:c r="N1" s="49"/>
      <x:c r="O1" s="49"/>
    </x:row>
    <x:row r="2">
      <x:c r="A2" s="61"/>
      <x:c r="B2" s="61"/>
      <x:c r="C2" s="61"/>
      <x:c r="D2" s="61"/>
      <x:c r="E2" s="61"/>
      <x:c r="F2" s="61"/>
      <x:c r="G2" s="61"/>
      <x:c r="H2" s="61"/>
    </x:row>
    <x:row r="3">
      <x:c r="A3" s="13" t="str">
        <x:v>Campo</x:v>
      </x:c>
      <x:c r="B3" s="13" t="str">
        <x:v>Detalle</x:v>
      </x:c>
      <x:c r="C3" s="61"/>
      <x:c r="D3" s="13" t="str">
        <x:v>Resumen por criticidad</x:v>
      </x:c>
      <x:c r="E3" s="61"/>
      <x:c r="F3" s="61"/>
      <x:c r="G3" s="61"/>
      <x:c r="H3" s="61"/>
    </x:row>
    <x:row r="4">
      <x:c r="A4" s="62" t="str">
        <x:v>Objetivo</x:v>
      </x:c>
      <x:c r="B4" s="61" t="str">
        <x:v>Clasificar los materiales del BOM por nivel de criticidad para priorizar compras, validaciones y sustituciones.</x:v>
      </x:c>
      <x:c r="C4" s="61"/>
      <x:c r="D4" s="31" t="str">
        <x:v>Criticidad</x:v>
      </x:c>
      <x:c r="E4" s="31" t="str">
        <x:v>Conteo</x:v>
      </x:c>
      <x:c r="F4" s="31" t="str">
        <x:v>% del BOM</x:v>
      </x:c>
      <x:c r="G4" s="31" t="str">
        <x:v>Observación</x:v>
      </x:c>
      <x:c r="H4" s="31" t="str">
        <x:v>Acción</x:v>
      </x:c>
    </x:row>
    <x:row r="5">
      <x:c r="A5" s="62" t="str">
        <x:v>Base de trabajo</x:v>
      </x:c>
      <x:c r="B5" s="61" t="str">
        <x:v>Lista de materiales PIC32-PINGUINO-MX220 Rev A</x:v>
      </x:c>
      <x:c r="C5" s="61"/>
      <x:c r="D5" s="61" t="str">
        <x:v>Crítico</x:v>
      </x:c>
      <x:c r="E5" s="63" t="n">
        <x:f>COUNTIF(Componentes!G:G,D5)</x:f>
        <x:v>8</x:v>
      </x:c>
      <x:c r="F5" s="64" t="n">
        <x:f>E5/SUM($E$5:$E$8)</x:f>
        <x:v>0.32</x:v>
      </x:c>
      <x:c r="G5" s="61" t="str">
        <x:v>Afecta encendido, programación, reloj o estabilidad</x:v>
      </x:c>
      <x:c r="H5" s="61" t="str">
        <x:v>Comprar primero</x:v>
      </x:c>
    </x:row>
    <x:row r="6">
      <x:c r="A6" s="62" t="str">
        <x:v>Responsable</x:v>
      </x:c>
      <x:c r="B6" s="61" t="str">
        <x:v>Costos / organización</x:v>
      </x:c>
      <x:c r="C6" s="61"/>
      <x:c r="D6" s="61" t="str">
        <x:v>Importante</x:v>
      </x:c>
      <x:c r="E6" s="63" t="n">
        <x:f>COUNTIF(Componentes!G:G,D6)</x:f>
        <x:v>7</x:v>
      </x:c>
      <x:c r="F6" s="64" t="n">
        <x:f>E6/SUM($E$5:$E$8)</x:f>
        <x:v>0.28</x:v>
      </x:c>
      <x:c r="G6" s="61" t="str">
        <x:v>Afecta funcionalidad práctica o protección</x:v>
      </x:c>
      <x:c r="H6" s="61" t="str">
        <x:v>Comprar en lote medio</x:v>
      </x:c>
    </x:row>
    <x:row r="7">
      <x:c r="A7" s="62" t="str">
        <x:v>Fecha de elaboración</x:v>
      </x:c>
      <x:c r="B7" s="65" t="n">
        <x:v>46194</x:v>
      </x:c>
      <x:c r="C7" s="61"/>
      <x:c r="D7" s="61" t="str">
        <x:v>Sustituible</x:v>
      </x:c>
      <x:c r="E7" s="63" t="n">
        <x:f>COUNTIF(Componentes!G:G,D7)</x:f>
        <x:v>7</x:v>
      </x:c>
      <x:c r="F7" s="64" t="n">
        <x:f>E7/SUM($E$5:$E$8)</x:f>
        <x:v>0.28</x:v>
      </x:c>
      <x:c r="G7" s="61" t="str">
        <x:v>Puede cambiarse respetando valor y huella</x:v>
      </x:c>
      <x:c r="H7" s="61" t="str">
        <x:v>Comprar al final</x:v>
      </x:c>
    </x:row>
    <x:row r="8">
      <x:c r="A8" s="62" t="str">
        <x:v>Criterio principal</x:v>
      </x:c>
      <x:c r="B8" s="61" t="str">
        <x:v>Impacto en el funcionamiento de la tarjeta y dificultad de sustitución sin modificar PCB</x:v>
      </x:c>
      <x:c r="C8" s="61"/>
      <x:c r="D8" s="61" t="str">
        <x:v>Opcional</x:v>
      </x:c>
      <x:c r="E8" s="63" t="n">
        <x:f>COUNTIF(Componentes!G:G,D8)</x:f>
        <x:v>3</x:v>
      </x:c>
      <x:c r="F8" s="64" t="n">
        <x:f>E8/SUM($E$5:$E$8)</x:f>
        <x:v>0.12</x:v>
      </x:c>
      <x:c r="G8" s="61" t="str">
        <x:v>Puede no montarse según la versión</x:v>
      </x:c>
      <x:c r="H8" s="61" t="str">
        <x:v>Revisar necesidad</x:v>
      </x:c>
    </x:row>
    <x:row r="9">
      <x:c r="A9" s="62" t="str">
        <x:v>Uso esperado</x:v>
      </x:c>
      <x:c r="B9" s="61" t="str">
        <x:v>Apoyo para compra, control de riesgos y revisión administrativa del proyecto</x:v>
      </x:c>
      <x:c r="C9" s="61"/>
      <x:c r="D9" s="61"/>
      <x:c r="E9" s="61"/>
      <x:c r="F9" s="61"/>
      <x:c r="G9" s="61"/>
      <x:c r="H9" s="61"/>
    </x:row>
    <x:row r="10">
      <x:c r="A10" s="62" t="str">
        <x:v>Estado</x:v>
      </x:c>
      <x:c r="B10" s="61" t="str">
        <x:v>Listo para revisión</x:v>
      </x:c>
      <x:c r="C10" s="61"/>
      <x:c r="D10" s="61"/>
      <x:c r="E10" s="61"/>
      <x:c r="F10" s="61"/>
      <x:c r="G10" s="61"/>
      <x:c r="H10" s="61"/>
    </x:row>
    <x:row r="11">
      <x:c r="A11" s="61"/>
      <x:c r="B11" s="61"/>
      <x:c r="C11" s="61"/>
      <x:c r="D11" s="13" t="str">
        <x:v>Indicadores de compra y riesgo</x:v>
      </x:c>
      <x:c r="E11" s="61"/>
      <x:c r="F11" s="61"/>
      <x:c r="G11" s="61"/>
      <x:c r="H11" s="61"/>
    </x:row>
    <x:row r="12">
      <x:c r="A12" s="61"/>
      <x:c r="B12" s="61"/>
      <x:c r="C12" s="61"/>
      <x:c r="D12" s="31" t="str">
        <x:v>Indicador</x:v>
      </x:c>
      <x:c r="E12" s="31" t="str">
        <x:v>Valor</x:v>
      </x:c>
      <x:c r="F12" s="31" t="str">
        <x:v>Comentario</x:v>
      </x:c>
      <x:c r="G12" s="31" t="str"/>
      <x:c r="H12" s="31" t="str"/>
    </x:row>
    <x:row r="13">
      <x:c r="A13" s="61"/>
      <x:c r="B13" s="61"/>
      <x:c r="C13" s="61"/>
      <x:c r="D13" s="61" t="str">
        <x:v>Componentes totales</x:v>
      </x:c>
      <x:c r="E13" s="63" t="n">
        <x:f>COUNTA(Componentes!A2:A200)</x:f>
        <x:v>25</x:v>
      </x:c>
      <x:c r="F13" s="61" t="str">
        <x:v>Incluye opcionales y pasivos</x:v>
      </x:c>
      <x:c r="G13" s="61" t="str"/>
      <x:c r="H13" s="61" t="str"/>
    </x:row>
    <x:row r="14">
      <x:c r="A14" s="61"/>
      <x:c r="B14" s="61"/>
      <x:c r="C14" s="61"/>
      <x:c r="D14" s="61" t="str">
        <x:v>Comprar primero</x:v>
      </x:c>
      <x:c r="E14" s="63" t="n">
        <x:f>COUNTIF(Componentes!K:K,"Comprar primero")</x:f>
        <x:v>8</x:v>
      </x:c>
      <x:c r="F14" s="61" t="str">
        <x:v>Componentes que conviene adquirir antes</x:v>
      </x:c>
      <x:c r="G14" s="61" t="str"/>
      <x:c r="H14" s="61" t="str"/>
    </x:row>
    <x:row r="15">
      <x:c r="A15" s="61"/>
      <x:c r="B15" s="61"/>
      <x:c r="C15" s="61"/>
      <x:c r="D15" s="61" t="str">
        <x:v>Impacto alto</x:v>
      </x:c>
      <x:c r="E15" s="63" t="n">
        <x:f>COUNTIF(Componentes!H:H,"Alto")</x:f>
        <x:v>8</x:v>
      </x:c>
      <x:c r="F15" s="61" t="str">
        <x:v>Riesgo funcional o de arranque</x:v>
      </x:c>
      <x:c r="G15" s="61" t="str"/>
      <x:c r="H15" s="61" t="str"/>
    </x:row>
    <x:row r="16">
      <x:c r="A16" s="61"/>
      <x:c r="B16" s="61"/>
      <x:c r="C16" s="61"/>
      <x:c r="D16" s="61" t="str">
        <x:v>Dificultad alta</x:v>
      </x:c>
      <x:c r="E16" s="63" t="n">
        <x:f>COUNTIF(Componentes!J:J,"Alta")</x:f>
        <x:v>2</x:v>
      </x:c>
      <x:c r="F16" s="61" t="str">
        <x:v>Sustitución complicada o con riesgo de incompatibilidad</x:v>
      </x:c>
      <x:c r="G16" s="61" t="str"/>
      <x:c r="H16" s="61" t="str"/>
    </x:row>
    <x:row r="17">
      <x:c r="A17" s="61"/>
      <x:c r="B17" s="61"/>
      <x:c r="C17" s="61"/>
      <x:c r="D17" s="61"/>
      <x:c r="E17" s="61"/>
      <x:c r="F17" s="61"/>
      <x:c r="G17" s="61"/>
      <x:c r="H17" s="61"/>
    </x:row>
    <x:row r="18">
      <x:c r="A18" s="61"/>
      <x:c r="B18" s="61"/>
      <x:c r="C18" s="61"/>
      <x:c r="D18" s="61"/>
      <x:c r="E18" s="61"/>
      <x:c r="F18" s="61"/>
      <x:c r="G18" s="61"/>
      <x:c r="H18" s="61"/>
    </x:row>
    <x:row r="19">
      <x:c r="A19" s="61"/>
      <x:c r="B19" s="61"/>
      <x:c r="C19" s="61"/>
      <x:c r="D19" s="61"/>
      <x:c r="E19" s="61"/>
      <x:c r="F19" s="61"/>
      <x:c r="G19" s="61"/>
      <x:c r="H19" s="61"/>
    </x:row>
    <x:row r="20">
      <x:c r="A20" s="61"/>
      <x:c r="B20" s="61"/>
      <x:c r="C20" s="61"/>
      <x:c r="D20" s="61"/>
      <x:c r="E20" s="61"/>
      <x:c r="F20" s="61"/>
      <x:c r="G20" s="61"/>
      <x:c r="H20" s="61"/>
    </x:row>
    <x:row r="21">
      <x:c r="A21" s="61"/>
      <x:c r="B21" s="61"/>
      <x:c r="C21" s="61"/>
      <x:c r="D21" s="61"/>
      <x:c r="E21" s="61"/>
      <x:c r="F21" s="61"/>
      <x:c r="G21" s="61"/>
      <x:c r="H21" s="61"/>
    </x:row>
    <x:row r="22">
      <x:c r="A22" s="61"/>
      <x:c r="B22" s="61"/>
      <x:c r="C22" s="61"/>
      <x:c r="D22" s="61"/>
      <x:c r="E22" s="61"/>
      <x:c r="F22" s="61"/>
      <x:c r="G22" s="61"/>
      <x:c r="H22" s="61"/>
    </x:row>
    <x:row r="23">
      <x:c r="A23" s="61"/>
      <x:c r="B23" s="61"/>
      <x:c r="C23" s="61"/>
      <x:c r="D23" s="61"/>
      <x:c r="E23" s="61"/>
      <x:c r="F23" s="61"/>
      <x:c r="G23" s="61"/>
      <x:c r="H23" s="61"/>
    </x:row>
    <x:row r="24">
      <x:c r="A24" s="61"/>
      <x:c r="B24" s="61"/>
      <x:c r="C24" s="61"/>
      <x:c r="D24" s="61"/>
      <x:c r="E24" s="61"/>
      <x:c r="F24" s="61"/>
      <x:c r="G24" s="61"/>
      <x:c r="H24" s="61"/>
    </x:row>
    <x:row r="25">
      <x:c r="A25" s="61"/>
      <x:c r="B25" s="61"/>
      <x:c r="C25" s="61"/>
      <x:c r="D25" s="61"/>
      <x:c r="E25" s="61"/>
      <x:c r="F25" s="61"/>
      <x:c r="G25" s="61"/>
      <x:c r="H25" s="61"/>
    </x:row>
    <x:row r="26">
      <x:c r="A26" s="61"/>
      <x:c r="B26" s="61"/>
      <x:c r="C26" s="61"/>
      <x:c r="D26" s="61"/>
      <x:c r="E26" s="61"/>
      <x:c r="F26" s="61"/>
      <x:c r="G26" s="61"/>
      <x:c r="H26" s="61"/>
    </x:row>
    <x:row r="27">
      <x:c r="A27" s="61"/>
      <x:c r="B27" s="61"/>
      <x:c r="C27" s="61"/>
      <x:c r="D27" s="61"/>
      <x:c r="E27" s="61"/>
      <x:c r="F27" s="61"/>
      <x:c r="G27" s="61"/>
      <x:c r="H27" s="61"/>
    </x:row>
    <x:row r="28">
      <x:c r="A28" s="61"/>
      <x:c r="B28" s="61"/>
      <x:c r="C28" s="61"/>
      <x:c r="D28" s="61"/>
      <x:c r="E28" s="61"/>
      <x:c r="F28" s="61"/>
      <x:c r="G28" s="61"/>
      <x:c r="H28" s="61"/>
    </x:row>
    <x:row r="29">
      <x:c r="A29" s="61"/>
      <x:c r="B29" s="61"/>
      <x:c r="C29" s="61"/>
      <x:c r="D29" s="61"/>
      <x:c r="E29" s="61"/>
      <x:c r="F29" s="61"/>
      <x:c r="G29" s="61"/>
      <x:c r="H29" s="61"/>
    </x:row>
    <x:row r="30">
      <x:c r="A30" s="61"/>
      <x:c r="B30" s="61"/>
      <x:c r="C30" s="61"/>
      <x:c r="D30" s="61"/>
      <x:c r="E30" s="61"/>
      <x:c r="F30" s="61"/>
      <x:c r="G30" s="61"/>
      <x:c r="H30" s="61"/>
    </x:row>
    <x:row r="31">
      <x:c r="A31" s="61"/>
      <x:c r="B31" s="61"/>
      <x:c r="C31" s="61"/>
      <x:c r="D31" s="61"/>
      <x:c r="E31" s="61"/>
      <x:c r="F31" s="61"/>
      <x:c r="G31" s="61"/>
      <x:c r="H31" s="61"/>
    </x:row>
    <x:row r="32">
      <x:c r="A32" s="61"/>
      <x:c r="B32" s="61"/>
      <x:c r="C32" s="61"/>
      <x:c r="D32" s="61"/>
      <x:c r="E32" s="61"/>
      <x:c r="F32" s="61"/>
      <x:c r="G32" s="61"/>
      <x:c r="H32" s="61"/>
    </x:row>
  </x:sheetData>
  <x:mergeCells>
    <x:mergeCell ref="A1:H1"/>
    <x:mergeCell ref="D3:H3"/>
    <x:mergeCell ref="D11:H11"/>
  </x:mergeCells>
  <x:pageMargins left="0.7" right="0.7" top="0.75" bottom="0.75" header="0.3" footer="0.3"/>
  <x:drawing xmlns:r="http://schemas.openxmlformats.org/officeDocument/2006/relationships" r:id="R50ed4d99c3b64691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8" hidden="0" customWidth="1"/>
    <x:col min="3" max="3" width="14" hidden="0" customWidth="1"/>
    <x:col min="4" max="4" width="38" hidden="0" customWidth="1"/>
    <x:col min="5" max="5" width="35" hidden="0" customWidth="1"/>
    <x:col min="6" max="6" width="20" hidden="0" customWidth="1"/>
    <x:col min="7" max="7" width="14" hidden="0" customWidth="1"/>
    <x:col min="8" max="8" width="18" hidden="0" customWidth="1"/>
    <x:col min="9" max="9" width="20" hidden="0" customWidth="1"/>
    <x:col min="10" max="10" width="16" hidden="0" customWidth="1"/>
    <x:col min="11" max="11" width="20" hidden="0" customWidth="1"/>
    <x:col min="12" max="12" width="18" hidden="0" customWidth="1"/>
    <x:col min="13" max="13" width="36" hidden="0" customWidth="1"/>
    <x:col min="14" max="14" width="44" hidden="0" customWidth="1"/>
    <x:col min="15" max="15" width="38" hidden="0" customWidth="1"/>
  </x:cols>
  <x:sheetData>
    <x:row r="1" ht="28" customHeight="1">
      <x:c r="A1" s="52" t="str">
        <x:v>No.</x:v>
      </x:c>
      <x:c r="B1" s="52" t="str">
        <x:v>Cant.</x:v>
      </x:c>
      <x:c r="C1" s="52" t="str">
        <x:v>Ref.</x:v>
      </x:c>
      <x:c r="D1" s="52" t="str">
        <x:v>Componente</x:v>
      </x:c>
      <x:c r="E1" s="52" t="str">
        <x:v>Función en la tarjeta</x:v>
      </x:c>
      <x:c r="F1" s="52" t="str">
        <x:v>Bloque</x:v>
      </x:c>
      <x:c r="G1" s="52" t="str">
        <x:v>Criticidad</x:v>
      </x:c>
      <x:c r="H1" s="52" t="str">
        <x:v>Impacto si falta/falla</x:v>
      </x:c>
      <x:c r="I1" s="52" t="str">
        <x:v>Dificultad de sustitución</x:v>
      </x:c>
      <x:c r="J1" s="52" t="str">
        <x:v>Impacto en PCB</x:v>
      </x:c>
      <x:c r="K1" s="52" t="str">
        <x:v>Prioridad de compra</x:v>
      </x:c>
      <x:c r="L1" s="52" t="str">
        <x:v>Stock sugerido</x:v>
      </x:c>
      <x:c r="M1" s="52" t="str">
        <x:v>Validación antes de compra</x:v>
      </x:c>
      <x:c r="N1" s="52" t="str">
        <x:v>Acción recomendada / motivo</x:v>
      </x:c>
      <x:c r="O1" s="52" t="str">
        <x:v>Fuente</x:v>
      </x:c>
    </x:row>
    <x:row r="2">
      <x:c r="A2" s="40" t="n">
        <x:v>1</x:v>
      </x:c>
      <x:c r="B2" s="40" t="n">
        <x:v>1</x:v>
      </x:c>
      <x:c r="C2" s="40" t="str">
        <x:v>U1</x:v>
      </x:c>
      <x:c r="D2" s="24" t="str">
        <x:v>Microcontrolador PIC32MX220F032D-I/PT</x:v>
      </x:c>
      <x:c r="E2" s="24" t="str">
        <x:v>Control principal, USB y ejecución del firmware</x:v>
      </x:c>
      <x:c r="F2" s="24" t="str">
        <x:v>Control / procesamiento</x:v>
      </x:c>
      <x:c r="G2" s="40" t="str">
        <x:v>Crítico</x:v>
      </x:c>
      <x:c r="H2" s="40" t="str">
        <x:v>Alto</x:v>
      </x:c>
      <x:c r="I2" s="40" t="str">
        <x:v>Alta</x:v>
      </x:c>
      <x:c r="J2" s="40" t="str">
        <x:v>Alta</x:v>
      </x:c>
      <x:c r="K2" s="40" t="str">
        <x:v>Comprar primero</x:v>
      </x:c>
      <x:c r="L2" s="24" t="str">
        <x:v>1 a 2 pzas extra</x:v>
      </x:c>
      <x:c r="M2" s="24" t="str">
        <x:v>Mismo encapsulado TQFP-44 / PT; revisar bootloader y memoria</x:v>
      </x:c>
      <x:c r="N2" s="24" t="str">
        <x:v>Sin este componente la tarjeta no funciona. No sustituir por DSP ni por encapsulados diferentes.</x:v>
      </x:c>
      <x:c r="O2" s="24" t="str">
        <x:v>https://www.mouser.mx/ProductDetail/Microchip-Technology/PIC32MX220F032D-I-PT?qs=YqCKdUdj4g1WcFz57CpzjQ%3D%3D</x:v>
      </x:c>
    </x:row>
    <x:row r="3">
      <x:c r="A3" s="40" t="n">
        <x:v>2</x:v>
      </x:c>
      <x:c r="B3" s="40" t="n">
        <x:v>1</x:v>
      </x:c>
      <x:c r="C3" s="40" t="str">
        <x:v>USB_DEV</x:v>
      </x:c>
      <x:c r="D3" s="24" t="str">
        <x:v>Conector USB Mini-B SMD</x:v>
      </x:c>
      <x:c r="E3" s="24" t="str">
        <x:v>Programación, alimentación por USB y comunicación con PC</x:v>
      </x:c>
      <x:c r="F3" s="24" t="str">
        <x:v>Comunicación / alimentación</x:v>
      </x:c>
      <x:c r="G3" s="40" t="str">
        <x:v>Crítico</x:v>
      </x:c>
      <x:c r="H3" s="40" t="str">
        <x:v>Alto</x:v>
      </x:c>
      <x:c r="I3" s="40" t="str">
        <x:v>Media</x:v>
      </x:c>
      <x:c r="J3" s="40" t="str">
        <x:v>Media</x:v>
      </x:c>
      <x:c r="K3" s="40" t="str">
        <x:v>Comprar primero</x:v>
      </x:c>
      <x:c r="L3" s="24" t="str">
        <x:v>1 pza extra</x:v>
      </x:c>
      <x:c r="M3" s="24" t="str">
        <x:v>Debe coincidir la huella SMD Mini-B del PCB</x:v>
      </x:c>
      <x:c r="N3" s="24" t="str">
        <x:v>Si cambia el footprint puede obligar a rediseñar pistas USB.</x:v>
      </x:c>
      <x:c r="O3" s="24" t="str">
        <x:v>https://www.sparkfun.com/products/587</x:v>
      </x:c>
    </x:row>
    <x:row r="4">
      <x:c r="A4" s="40" t="n">
        <x:v>3</x:v>
      </x:c>
      <x:c r="B4" s="40" t="n">
        <x:v>1</x:v>
      </x:c>
      <x:c r="C4" s="40" t="str">
        <x:v>3.7V-LI_BAT</x:v>
      </x:c>
      <x:c r="D4" s="24" t="str">
        <x:v>Conector de batería Li-Po 3.7 V, 2 pines DW02R</x:v>
      </x:c>
      <x:c r="E4" s="24" t="str">
        <x:v>Entrada opcional para batería externa</x:v>
      </x:c>
      <x:c r="F4" s="24" t="str">
        <x:v>Alimentación opcional</x:v>
      </x:c>
      <x:c r="G4" s="40" t="str">
        <x:v>Opcional</x:v>
      </x:c>
      <x:c r="H4" s="40" t="str">
        <x:v>Bajo</x:v>
      </x:c>
      <x:c r="I4" s="40" t="str">
        <x:v>Baja</x:v>
      </x:c>
      <x:c r="J4" s="40" t="str">
        <x:v>Baja</x:v>
      </x:c>
      <x:c r="K4" s="40" t="str">
        <x:v>Comprar después</x:v>
      </x:c>
      <x:c r="L4" s="24" t="str">
        <x:v>0 a 1 pza extra</x:v>
      </x:c>
      <x:c r="M4" s="24" t="str">
        <x:v>Confirmar polaridad y separación de pines</x:v>
      </x:c>
      <x:c r="N4" s="24" t="str">
        <x:v>Puede omitirse si la tarjeta se alimentará solo por USB o jack.</x:v>
      </x:c>
      <x:c r="O4" s="24" t="str">
        <x:v>https://intesc.mx/productos/conector-macho-tipo-jst-de-2-pines/</x:v>
      </x:c>
    </x:row>
    <x:row r="5">
      <x:c r="A5" s="40" t="n">
        <x:v>4</x:v>
      </x:c>
      <x:c r="B5" s="40" t="n">
        <x:v>1</x:v>
      </x:c>
      <x:c r="C5" s="40" t="str">
        <x:v>PWR</x:v>
      </x:c>
      <x:c r="D5" s="24" t="str">
        <x:v>Jack/conector de alimentación 5 VDC YDJ-1136</x:v>
      </x:c>
      <x:c r="E5" s="24" t="str">
        <x:v>Entrada externa de 5 V</x:v>
      </x:c>
      <x:c r="F5" s="24" t="str">
        <x:v>Alimentación</x:v>
      </x:c>
      <x:c r="G5" s="40" t="str">
        <x:v>Importante</x:v>
      </x:c>
      <x:c r="H5" s="40" t="str">
        <x:v>Medio</x:v>
      </x:c>
      <x:c r="I5" s="40" t="str">
        <x:v>Media</x:v>
      </x:c>
      <x:c r="J5" s="40" t="str">
        <x:v>Media</x:v>
      </x:c>
      <x:c r="K5" s="40" t="str">
        <x:v>Comprar en lote medio</x:v>
      </x:c>
      <x:c r="L5" s="24" t="str">
        <x:v>1 pza extra</x:v>
      </x:c>
      <x:c r="M5" s="24" t="str">
        <x:v>Revisar diámetro, polaridad y huella del jack</x:v>
      </x:c>
      <x:c r="N5" s="24" t="str">
        <x:v>No es obligatorio si se usará USB, pero da flexibilidad de alimentación.</x:v>
      </x:c>
      <x:c r="O5" s="24" t="str">
        <x:v>https://www.ideaelectronica.mx/conectores-de-energia/4293-705-571-conector-de-barril-dc-para-pcb.html</x:v>
      </x:c>
    </x:row>
    <x:row r="6">
      <x:c r="A6" s="40" t="n">
        <x:v>5</x:v>
      </x:c>
      <x:c r="B6" s="40" t="n">
        <x:v>1</x:v>
      </x:c>
      <x:c r="C6" s="40" t="str">
        <x:v>D1</x:v>
      </x:c>
      <x:c r="D6" s="24" t="str">
        <x:v>Diodo Schottky BAT54C SMD</x:v>
      </x:c>
      <x:c r="E6" s="24" t="str">
        <x:v>Protección y selección de alimentación</x:v>
      </x:c>
      <x:c r="F6" s="24" t="str">
        <x:v>Protección</x:v>
      </x:c>
      <x:c r="G6" s="40" t="str">
        <x:v>Importante</x:v>
      </x:c>
      <x:c r="H6" s="40" t="str">
        <x:v>Medio</x:v>
      </x:c>
      <x:c r="I6" s="40" t="str">
        <x:v>Media</x:v>
      </x:c>
      <x:c r="J6" s="40" t="str">
        <x:v>Media</x:v>
      </x:c>
      <x:c r="K6" s="40" t="str">
        <x:v>Comprar en lote medio</x:v>
      </x:c>
      <x:c r="L6" s="24" t="str">
        <x:v>2 a 5 pzas extra</x:v>
      </x:c>
      <x:c r="M6" s="24" t="str">
        <x:v>Misma configuración BAT54C, cátodo común, SMD compatible</x:v>
      </x:c>
      <x:c r="N6" s="24" t="str">
        <x:v>Una sustitución incorrecta puede afectar la protección o la ruta de alimentación.</x:v>
      </x:c>
      <x:c r="O6" s="24" t="str">
        <x:v>https://teknomovo.com.mx/producto/diodo-doble-de-pequena-senal-schottky-catodo-comun-200-ma-30-v-voltaje-en-directo-muy-bajo-alta-frecuencia-smd/</x:v>
      </x:c>
    </x:row>
    <x:row r="7">
      <x:c r="A7" s="40" t="n">
        <x:v>6</x:v>
      </x:c>
      <x:c r="B7" s="40" t="n">
        <x:v>1</x:v>
      </x:c>
      <x:c r="C7" s="40" t="str">
        <x:v>VR2</x:v>
      </x:c>
      <x:c r="D7" s="24" t="str">
        <x:v>Regulador LDO 3.3 V MCP1700T-3302E/MB</x:v>
      </x:c>
      <x:c r="E7" s="24" t="str">
        <x:v>Genera 3.3 V para el PIC32 y periféricos</x:v>
      </x:c>
      <x:c r="F7" s="24" t="str">
        <x:v>Alimentación 3.3 V</x:v>
      </x:c>
      <x:c r="G7" s="40" t="str">
        <x:v>Crítico</x:v>
      </x:c>
      <x:c r="H7" s="40" t="str">
        <x:v>Alto</x:v>
      </x:c>
      <x:c r="I7" s="40" t="str">
        <x:v>Alta</x:v>
      </x:c>
      <x:c r="J7" s="40" t="str">
        <x:v>Alta</x:v>
      </x:c>
      <x:c r="K7" s="40" t="str">
        <x:v>Comprar primero</x:v>
      </x:c>
      <x:c r="L7" s="24" t="str">
        <x:v>2 pzas extra</x:v>
      </x:c>
      <x:c r="M7" s="24" t="str">
        <x:v>Salida 3.3 V; corriente suficiente; mismo encapsulado o compatible</x:v>
      </x:c>
      <x:c r="N7" s="24" t="str">
        <x:v>Si falla o se compra mal, puede dañar el microcontrolador o impedir el arranque.</x:v>
      </x:c>
      <x:c r="O7" s="24" t="str">
        <x:v>https://www.lcsc.com/product-detail_C632000.html</x:v>
      </x:c>
    </x:row>
    <x:row r="8">
      <x:c r="A8" s="40" t="n">
        <x:v>7</x:v>
      </x:c>
      <x:c r="B8" s="40" t="n">
        <x:v>1</x:v>
      </x:c>
      <x:c r="C8" s="40" t="str">
        <x:v>VR1</x:v>
      </x:c>
      <x:c r="D8" s="24" t="str">
        <x:v>Regulador ajustable LM1117IMPX-ADJ</x:v>
      </x:c>
      <x:c r="E8" s="24" t="str">
        <x:v>Regulación auxiliar ajustable, marcada como opcional</x:v>
      </x:c>
      <x:c r="F8" s="24" t="str">
        <x:v>Alimentación opcional</x:v>
      </x:c>
      <x:c r="G8" s="40" t="str">
        <x:v>Opcional</x:v>
      </x:c>
      <x:c r="H8" s="40" t="str">
        <x:v>Bajo</x:v>
      </x:c>
      <x:c r="I8" s="40" t="str">
        <x:v>Media</x:v>
      </x:c>
      <x:c r="J8" s="40" t="str">
        <x:v>Media</x:v>
      </x:c>
      <x:c r="K8" s="40" t="str">
        <x:v>Comprar después</x:v>
      </x:c>
      <x:c r="L8" s="24" t="str">
        <x:v>0 a 1 pza extra</x:v>
      </x:c>
      <x:c r="M8" s="24" t="str">
        <x:v>Confirmar si realmente se monta en esta revisión</x:v>
      </x:c>
      <x:c r="N8" s="24" t="str">
        <x:v>Si la posición está marcada como opcional, puede dejarse sin montar según el esquema.</x:v>
      </x:c>
      <x:c r="O8" s="24" t="str">
        <x:v>https://www.mouser.com/ProductDetail/Texas-Instruments/LM1117IMPX-ADJ-NOPB?qs=X1J7HmVL2ZH7x9eSBiUHaQ%3D%3D</x:v>
      </x:c>
    </x:row>
    <x:row r="9">
      <x:c r="A9" s="40" t="n">
        <x:v>8</x:v>
      </x:c>
      <x:c r="B9" s="40" t="n">
        <x:v>1</x:v>
      </x:c>
      <x:c r="C9" s="40" t="str">
        <x:v>X1</x:v>
      </x:c>
      <x:c r="D9" s="24" t="str">
        <x:v>Cristal de cuarzo 8.000 MHz HC-49SM SMD, 20 pF, 20 ppm</x:v>
      </x:c>
      <x:c r="E9" s="24" t="str">
        <x:v>Reloj externo para PIC32 y operación USB estable</x:v>
      </x:c>
      <x:c r="F9" s="24" t="str">
        <x:v>Reloj</x:v>
      </x:c>
      <x:c r="G9" s="40" t="str">
        <x:v>Crítico</x:v>
      </x:c>
      <x:c r="H9" s="40" t="str">
        <x:v>Alto</x:v>
      </x:c>
      <x:c r="I9" s="40" t="str">
        <x:v>Alta</x:v>
      </x:c>
      <x:c r="J9" s="40" t="str">
        <x:v>Media</x:v>
      </x:c>
      <x:c r="K9" s="40" t="str">
        <x:v>Comprar primero</x:v>
      </x:c>
      <x:c r="L9" s="24" t="str">
        <x:v>1 a 2 pzas extra</x:v>
      </x:c>
      <x:c r="M9" s="24" t="str">
        <x:v>8 MHz, carga 20 pF, tolerancia similar, huella HC-49SM</x:v>
      </x:c>
      <x:c r="N9" s="24" t="str">
        <x:v>Un cristal incorrecto puede afectar USB, temporización y carga del bootloader.</x:v>
      </x:c>
      <x:c r="O9" s="24" t="str">
        <x:v>https://intesc.mx/productos/oscilador-de-8mhz-smd/</x:v>
      </x:c>
    </x:row>
    <x:row r="10">
      <x:c r="A10" s="40" t="n">
        <x:v>9</x:v>
      </x:c>
      <x:c r="B10" s="40" t="n">
        <x:v>1</x:v>
      </x:c>
      <x:c r="C10" s="40" t="str">
        <x:v>LED_PWR</x:v>
      </x:c>
      <x:c r="D10" s="24" t="str">
        <x:v>LED verde SMD 0603</x:v>
      </x:c>
      <x:c r="E10" s="24" t="str">
        <x:v>Indicador visual de alimentación o estado</x:v>
      </x:c>
      <x:c r="F10" s="24" t="str">
        <x:v>Indicadores</x:v>
      </x:c>
      <x:c r="G10" s="40" t="str">
        <x:v>Sustituible</x:v>
      </x:c>
      <x:c r="H10" s="40" t="str">
        <x:v>Bajo</x:v>
      </x:c>
      <x:c r="I10" s="40" t="str">
        <x:v>Baja</x:v>
      </x:c>
      <x:c r="J10" s="40" t="str">
        <x:v>Baja</x:v>
      </x:c>
      <x:c r="K10" s="40" t="str">
        <x:v>Comprar al final</x:v>
      </x:c>
      <x:c r="L10" s="24" t="str">
        <x:v>2 a 5 pzas extra</x:v>
      </x:c>
      <x:c r="M10" s="24" t="str">
        <x:v>LED 0603 verde; revisar polaridad</x:v>
      </x:c>
      <x:c r="N10" s="24" t="str">
        <x:v>No afecta la función principal; útil para diagnóstico visual.</x:v>
      </x:c>
      <x:c r="O10" s="24" t="str">
        <x:v>https://aelectronics.com.mx/home/2580-led-smd-0603-verde.html</x:v>
      </x:c>
    </x:row>
    <x:row r="11">
      <x:c r="A11" s="40" t="n">
        <x:v>10</x:v>
      </x:c>
      <x:c r="B11" s="40" t="n">
        <x:v>1</x:v>
      </x:c>
      <x:c r="C11" s="40" t="str">
        <x:v>LED_USER</x:v>
      </x:c>
      <x:c r="D11" s="24" t="str">
        <x:v>LED rojo SMD 0603</x:v>
      </x:c>
      <x:c r="E11" s="24" t="str">
        <x:v>Indicador de usuario o prueba</x:v>
      </x:c>
      <x:c r="F11" s="24" t="str">
        <x:v>Indicadores</x:v>
      </x:c>
      <x:c r="G11" s="40" t="str">
        <x:v>Sustituible</x:v>
      </x:c>
      <x:c r="H11" s="40" t="str">
        <x:v>Bajo</x:v>
      </x:c>
      <x:c r="I11" s="40" t="str">
        <x:v>Baja</x:v>
      </x:c>
      <x:c r="J11" s="40" t="str">
        <x:v>Baja</x:v>
      </x:c>
      <x:c r="K11" s="40" t="str">
        <x:v>Comprar al final</x:v>
      </x:c>
      <x:c r="L11" s="24" t="str">
        <x:v>2 a 5 pzas extra</x:v>
      </x:c>
      <x:c r="M11" s="24" t="str">
        <x:v>LED 0603 rojo; revisar polaridad</x:v>
      </x:c>
      <x:c r="N11" s="24" t="str">
        <x:v>Puede cambiarse por otro color si se ajusta la resistencia.</x:v>
      </x:c>
      <x:c r="O11" s="24" t="str">
        <x:v>https://uelectronics.com/producto/ncd0603r1-led-rojo-smd-0603/</x:v>
      </x:c>
    </x:row>
    <x:row r="12">
      <x:c r="A12" s="40" t="n">
        <x:v>11</x:v>
      </x:c>
      <x:c r="B12" s="40" t="n">
        <x:v>2</x:v>
      </x:c>
      <x:c r="C12" s="40" t="str">
        <x:v>BUT, RST</x:v>
      </x:c>
      <x:c r="D12" s="24" t="str">
        <x:v>Botón pulsador táctil SMD T1107A 6 x 3.8 x 2.5 mm</x:v>
      </x:c>
      <x:c r="E12" s="24" t="str">
        <x:v>Reset y botón de usuario</x:v>
      </x:c>
      <x:c r="F12" s="24" t="str">
        <x:v>Interfaz / reset</x:v>
      </x:c>
      <x:c r="G12" s="40" t="str">
        <x:v>Importante</x:v>
      </x:c>
      <x:c r="H12" s="40" t="str">
        <x:v>Medio</x:v>
      </x:c>
      <x:c r="I12" s="40" t="str">
        <x:v>Media</x:v>
      </x:c>
      <x:c r="J12" s="40" t="str">
        <x:v>Media</x:v>
      </x:c>
      <x:c r="K12" s="40" t="str">
        <x:v>Comprar en lote medio</x:v>
      </x:c>
      <x:c r="L12" s="24" t="str">
        <x:v>2 pzas extra</x:v>
      </x:c>
      <x:c r="M12" s="24" t="str">
        <x:v>Mismo tamaño y altura; revisar huella lateral</x:v>
      </x:c>
      <x:c r="N12" s="24" t="str">
        <x:v>El botón de reset facilita pruebas; si no se monta se complica la depuración.</x:v>
      </x:c>
      <x:c r="O12" s="24" t="str">
        <x:v>https://sieeg.com.mx/producto/switch-interruptor-smd-3x6x3-8mm/</x:v>
      </x:c>
    </x:row>
    <x:row r="13">
      <x:c r="A13" s="40" t="n">
        <x:v>12</x:v>
      </x:c>
      <x:c r="B13" s="40" t="n">
        <x:v>1</x:v>
      </x:c>
      <x:c r="C13" s="40" t="str">
        <x:v>UEXT</x:v>
      </x:c>
      <x:c r="D13" s="24" t="str">
        <x:v>Conector UEXT BH10R, 10 pines</x:v>
      </x:c>
      <x:c r="E13" s="24" t="str">
        <x:v>Expansión externa para comunicación y periféricos</x:v>
      </x:c>
      <x:c r="F13" s="24" t="str">
        <x:v>Expansión</x:v>
      </x:c>
      <x:c r="G13" s="40" t="str">
        <x:v>Sustituible</x:v>
      </x:c>
      <x:c r="H13" s="40" t="str">
        <x:v>Medio</x:v>
      </x:c>
      <x:c r="I13" s="40" t="str">
        <x:v>Media</x:v>
      </x:c>
      <x:c r="J13" s="40" t="str">
        <x:v>Baja</x:v>
      </x:c>
      <x:c r="K13" s="40" t="str">
        <x:v>Comprar al final</x:v>
      </x:c>
      <x:c r="L13" s="24" t="str">
        <x:v>1 pza extra</x:v>
      </x:c>
      <x:c r="M13" s="24" t="str">
        <x:v>Conector 2x5 con paso compatible; revisar orientación</x:v>
      </x:c>
      <x:c r="N13" s="24" t="str">
        <x:v>No impide que el PIC32 funcione, pero limita expansión.</x:v>
      </x:c>
      <x:c r="O13" s="24" t="str">
        <x:v>https://www.ideaelectronica.mx/conectores-de-energia/3895-fcn-2x5-conector-macho-10-pin-para-cable-plano.html</x:v>
      </x:c>
    </x:row>
    <x:row r="14">
      <x:c r="A14" s="40" t="n">
        <x:v>13</x:v>
      </x:c>
      <x:c r="B14" s="40" t="n">
        <x:v>1</x:v>
      </x:c>
      <x:c r="C14" s="40" t="str">
        <x:v>ICSP</x:v>
      </x:c>
      <x:c r="D14" s="24" t="str">
        <x:v>Header ICSP WF6S, 6 pines</x:v>
      </x:c>
      <x:c r="E14" s="24" t="str">
        <x:v>Programación y recuperación con PICkit/Snap</x:v>
      </x:c>
      <x:c r="F14" s="24" t="str">
        <x:v>Programación</x:v>
      </x:c>
      <x:c r="G14" s="40" t="str">
        <x:v>Crítico</x:v>
      </x:c>
      <x:c r="H14" s="40" t="str">
        <x:v>Alto</x:v>
      </x:c>
      <x:c r="I14" s="40" t="str">
        <x:v>Media</x:v>
      </x:c>
      <x:c r="J14" s="40" t="str">
        <x:v>Baja</x:v>
      </x:c>
      <x:c r="K14" s="40" t="str">
        <x:v>Comprar primero</x:v>
      </x:c>
      <x:c r="L14" s="24" t="str">
        <x:v>1 pza extra</x:v>
      </x:c>
      <x:c r="M14" s="24" t="str">
        <x:v>Header 1x6 o pads equivalentes con paso 2.54 mm</x:v>
      </x:c>
      <x:c r="N14" s="24" t="str">
        <x:v>Aunque el USB funcione, ICSP es necesario para bootloader o recuperación.</x:v>
      </x:c>
      <x:c r="O14" s="24" t="str">
        <x:v>https://intesc.mx/productos/tira-de-40-pines-macho-de-2-54mm/</x:v>
      </x:c>
    </x:row>
    <x:row r="15">
      <x:c r="A15" s="40" t="n">
        <x:v>14</x:v>
      </x:c>
      <x:c r="B15" s="40" t="n">
        <x:v>1</x:v>
      </x:c>
      <x:c r="C15" s="40" t="str">
        <x:v>CON1,CON2,CON4,CON5</x:v>
      </x:c>
      <x:c r="D15" s="24" t="str">
        <x:v>Juego de headers Arduino 2 x 1x8 + 2 x 1x6</x:v>
      </x:c>
      <x:c r="E15" s="24" t="str">
        <x:v>Acceso a pines de expansión tipo Arduino</x:v>
      </x:c>
      <x:c r="F15" s="24" t="str">
        <x:v>Expansión</x:v>
      </x:c>
      <x:c r="G15" s="40" t="str">
        <x:v>Importante</x:v>
      </x:c>
      <x:c r="H15" s="40" t="str">
        <x:v>Medio</x:v>
      </x:c>
      <x:c r="I15" s="40" t="str">
        <x:v>Baja</x:v>
      </x:c>
      <x:c r="J15" s="40" t="str">
        <x:v>Baja</x:v>
      </x:c>
      <x:c r="K15" s="40" t="str">
        <x:v>Comprar en lote medio</x:v>
      </x:c>
      <x:c r="L15" s="24" t="str">
        <x:v>1 juego extra</x:v>
      </x:c>
      <x:c r="M15" s="24" t="str">
        <x:v>Headers hembra/macho según diseño; paso 2.54 mm</x:v>
      </x:c>
      <x:c r="N15" s="24" t="str">
        <x:v>Sin headers la tarjeta funciona, pero pierde utilidad como placa de desarrollo.</x:v>
      </x:c>
      <x:c r="O15" s="24" t="str">
        <x:v>https://rantec.mx/tienda/tiras-de-header-hembra-de-40-dupont-2-54mm/</x:v>
      </x:c>
    </x:row>
    <x:row r="16">
      <x:c r="A16" s="40" t="n">
        <x:v>15</x:v>
      </x:c>
      <x:c r="B16" s="40" t="n">
        <x:v>1</x:v>
      </x:c>
      <x:c r="C16" s="40" t="str">
        <x:v>R?</x:v>
      </x:c>
      <x:c r="D16" s="24" t="str">
        <x:v>Resistencia SMD 240 Ω 1%</x:v>
      </x:c>
      <x:c r="E16" s="24" t="str">
        <x:v>Limitación de corriente o ajuste de circuito</x:v>
      </x:c>
      <x:c r="F16" s="24" t="str">
        <x:v>Pasivos</x:v>
      </x:c>
      <x:c r="G16" s="40" t="str">
        <x:v>Sustituible</x:v>
      </x:c>
      <x:c r="H16" s="40" t="str">
        <x:v>Bajo</x:v>
      </x:c>
      <x:c r="I16" s="40" t="str">
        <x:v>Baja</x:v>
      </x:c>
      <x:c r="J16" s="40" t="str">
        <x:v>Baja</x:v>
      </x:c>
      <x:c r="K16" s="40" t="str">
        <x:v>Comprar al final</x:v>
      </x:c>
      <x:c r="L16" s="24" t="str">
        <x:v>5 pzas extra</x:v>
      </x:c>
      <x:c r="M16" s="24" t="str">
        <x:v>Valor 240 Ω; mismo tamaño SMD que el PCB</x:v>
      </x:c>
      <x:c r="N16" s="24" t="str">
        <x:v>Fácil de sustituir si se respeta valor y potencia.</x:v>
      </x:c>
      <x:c r="O16" s="24" t="str">
        <x:v>https://intesc.mx/productos/resistencia-de-240-ohm-1-0603/</x:v>
      </x:c>
    </x:row>
    <x:row r="17">
      <x:c r="A17" s="40" t="n">
        <x:v>16</x:v>
      </x:c>
      <x:c r="B17" s="40" t="n">
        <x:v>1</x:v>
      </x:c>
      <x:c r="C17" s="40" t="str">
        <x:v>R?</x:v>
      </x:c>
      <x:c r="D17" s="24" t="str">
        <x:v>Resistencia SMD 390 Ω 1%</x:v>
      </x:c>
      <x:c r="E17" s="24" t="str">
        <x:v>Limitación de corriente o ajuste de circuito</x:v>
      </x:c>
      <x:c r="F17" s="24" t="str">
        <x:v>Pasivos</x:v>
      </x:c>
      <x:c r="G17" s="40" t="str">
        <x:v>Sustituible</x:v>
      </x:c>
      <x:c r="H17" s="40" t="str">
        <x:v>Bajo</x:v>
      </x:c>
      <x:c r="I17" s="40" t="str">
        <x:v>Baja</x:v>
      </x:c>
      <x:c r="J17" s="40" t="str">
        <x:v>Baja</x:v>
      </x:c>
      <x:c r="K17" s="40" t="str">
        <x:v>Comprar al final</x:v>
      </x:c>
      <x:c r="L17" s="24" t="str">
        <x:v>5 pzas extra</x:v>
      </x:c>
      <x:c r="M17" s="24" t="str">
        <x:v>Valor 390 Ω; mismo tamaño SMD que el PCB</x:v>
      </x:c>
      <x:c r="N17" s="24" t="str">
        <x:v>Fácil de sustituir; revisar si corresponde a LED o red específica.</x:v>
      </x:c>
      <x:c r="O17" s="24" t="str">
        <x:v>https://intesc.mx/productos/resistencia-de-390-ohm-1-0603/</x:v>
      </x:c>
    </x:row>
    <x:row r="18">
      <x:c r="A18" s="40" t="n">
        <x:v>17</x:v>
      </x:c>
      <x:c r="B18" s="40" t="n">
        <x:v>2</x:v>
      </x:c>
      <x:c r="C18" s="40" t="str">
        <x:v>R?</x:v>
      </x:c>
      <x:c r="D18" s="24" t="str">
        <x:v>Resistencia SMD 2 kΩ</x:v>
      </x:c>
      <x:c r="E18" s="24" t="str">
        <x:v>Pull-up, limitación o polarización</x:v>
      </x:c>
      <x:c r="F18" s="24" t="str">
        <x:v>Pasivos</x:v>
      </x:c>
      <x:c r="G18" s="40" t="str">
        <x:v>Sustituible</x:v>
      </x:c>
      <x:c r="H18" s="40" t="str">
        <x:v>Bajo</x:v>
      </x:c>
      <x:c r="I18" s="40" t="str">
        <x:v>Baja</x:v>
      </x:c>
      <x:c r="J18" s="40" t="str">
        <x:v>Baja</x:v>
      </x:c>
      <x:c r="K18" s="40" t="str">
        <x:v>Comprar al final</x:v>
      </x:c>
      <x:c r="L18" s="24" t="str">
        <x:v>5 pzas extra</x:v>
      </x:c>
      <x:c r="M18" s="24" t="str">
        <x:v>Valor 2 kΩ; tolerancia 1% o 5% aceptable según función</x:v>
      </x:c>
      <x:c r="N18" s="24" t="str">
        <x:v>Pasivo económico; conviene comprar más unidades por pérdida en soldadura.</x:v>
      </x:c>
      <x:c r="O18" s="24" t="str">
        <x:v>https://intesc.mx/productos/resistencia-de-2k-ohm-1-0603/</x:v>
      </x:c>
    </x:row>
    <x:row r="19">
      <x:c r="A19" s="40" t="n">
        <x:v>18</x:v>
      </x:c>
      <x:c r="B19" s="40" t="n">
        <x:v>4</x:v>
      </x:c>
      <x:c r="C19" s="40" t="str">
        <x:v>R?</x:v>
      </x:c>
      <x:c r="D19" s="24" t="str">
        <x:v>Resistencia SMD 4.7 kΩ</x:v>
      </x:c>
      <x:c r="E19" s="24" t="str">
        <x:v>Pull-up de señales, I2C o entradas digitales</x:v>
      </x:c>
      <x:c r="F19" s="24" t="str">
        <x:v>Pasivos</x:v>
      </x:c>
      <x:c r="G19" s="40" t="str">
        <x:v>Importante</x:v>
      </x:c>
      <x:c r="H19" s="40" t="str">
        <x:v>Medio</x:v>
      </x:c>
      <x:c r="I19" s="40" t="str">
        <x:v>Baja</x:v>
      </x:c>
      <x:c r="J19" s="40" t="str">
        <x:v>Baja</x:v>
      </x:c>
      <x:c r="K19" s="40" t="str">
        <x:v>Comprar en lote medio</x:v>
      </x:c>
      <x:c r="L19" s="24" t="str">
        <x:v>5 a 10 pzas extra</x:v>
      </x:c>
      <x:c r="M19" s="24" t="str">
        <x:v>Valor 4.7 kΩ; revisar si trabaja como pull-up</x:v>
      </x:c>
      <x:c r="N19" s="24" t="str">
        <x:v>Aunque es pasivo, puede afectar comunicaciones si falta o se monta mal.</x:v>
      </x:c>
      <x:c r="O19" s="24" t="str">
        <x:v>https://intesc.mx/productos/resistencia-de-4-7k-ohm-1-0603/</x:v>
      </x:c>
    </x:row>
    <x:row r="20">
      <x:c r="A20" s="40" t="n">
        <x:v>19</x:v>
      </x:c>
      <x:c r="B20" s="40" t="n">
        <x:v>2</x:v>
      </x:c>
      <x:c r="C20" s="40" t="str">
        <x:v>R? opc.</x:v>
      </x:c>
      <x:c r="D20" s="24" t="str">
        <x:v>Resistencia SMD 4.7 kΩ opcional</x:v>
      </x:c>
      <x:c r="E20" s="24" t="str">
        <x:v>Pull-up opcional o configuración de hardware</x:v>
      </x:c>
      <x:c r="F20" s="24" t="str">
        <x:v>Pasivos opcionales</x:v>
      </x:c>
      <x:c r="G20" s="40" t="str">
        <x:v>Opcional</x:v>
      </x:c>
      <x:c r="H20" s="40" t="str">
        <x:v>Bajo</x:v>
      </x:c>
      <x:c r="I20" s="40" t="str">
        <x:v>Baja</x:v>
      </x:c>
      <x:c r="J20" s="40" t="str">
        <x:v>Baja</x:v>
      </x:c>
      <x:c r="K20" s="40" t="str">
        <x:v>Comprar después</x:v>
      </x:c>
      <x:c r="L20" s="24" t="str">
        <x:v>2 pzas extra</x:v>
      </x:c>
      <x:c r="M20" s="24" t="str">
        <x:v>Mismo valor si se decide montar</x:v>
      </x:c>
      <x:c r="N20" s="24" t="str">
        <x:v>Puede quedar como no poblado si el diseño lo permite.</x:v>
      </x:c>
      <x:c r="O20" s="24" t="str">
        <x:v>https://intesc.mx/productos/resistencia-de-4-7k-ohm-1-0603/</x:v>
      </x:c>
    </x:row>
    <x:row r="21">
      <x:c r="A21" s="40" t="n">
        <x:v>20</x:v>
      </x:c>
      <x:c r="B21" s="40" t="n">
        <x:v>1</x:v>
      </x:c>
      <x:c r="C21" s="40" t="str">
        <x:v>R7</x:v>
      </x:c>
      <x:c r="D21" s="24" t="str">
        <x:v>Resistencia SMD 33 kΩ</x:v>
      </x:c>
      <x:c r="E21" s="24" t="str">
        <x:v>Divisor, pull-up o ajuste de señal específico</x:v>
      </x:c>
      <x:c r="F21" s="24" t="str">
        <x:v>Pasivos</x:v>
      </x:c>
      <x:c r="G21" s="40" t="str">
        <x:v>Importante</x:v>
      </x:c>
      <x:c r="H21" s="40" t="str">
        <x:v>Medio</x:v>
      </x:c>
      <x:c r="I21" s="40" t="str">
        <x:v>Baja</x:v>
      </x:c>
      <x:c r="J21" s="40" t="str">
        <x:v>Baja</x:v>
      </x:c>
      <x:c r="K21" s="40" t="str">
        <x:v>Comprar en lote medio</x:v>
      </x:c>
      <x:c r="L21" s="24" t="str">
        <x:v>3 pzas extra</x:v>
      </x:c>
      <x:c r="M21" s="24" t="str">
        <x:v>Valor 33 kΩ; misma huella</x:v>
      </x:c>
      <x:c r="N21" s="24" t="str">
        <x:v>Revisar función exacta en el esquema antes de sustituir.</x:v>
      </x:c>
      <x:c r="O21" s="24" t="str">
        <x:v>https://intesc.mx/productos/resistencia-de-33k-ohm-1-0603/</x:v>
      </x:c>
    </x:row>
    <x:row r="22">
      <x:c r="A22" s="40" t="n">
        <x:v>21</x:v>
      </x:c>
      <x:c r="B22" s="40" t="n">
        <x:v>1</x:v>
      </x:c>
      <x:c r="C22" s="40" t="str">
        <x:v>R0</x:v>
      </x:c>
      <x:c r="D22" s="24" t="str">
        <x:v>Resistencia SMD 0 Ω / jumper</x:v>
      </x:c>
      <x:c r="E22" s="24" t="str">
        <x:v>Puente o configuración de ruta en PCB</x:v>
      </x:c>
      <x:c r="F22" s="24" t="str">
        <x:v>Configuración</x:v>
      </x:c>
      <x:c r="G22" s="40" t="str">
        <x:v>Importante</x:v>
      </x:c>
      <x:c r="H22" s="40" t="str">
        <x:v>Medio</x:v>
      </x:c>
      <x:c r="I22" s="40" t="str">
        <x:v>Baja</x:v>
      </x:c>
      <x:c r="J22" s="40" t="str">
        <x:v>Baja</x:v>
      </x:c>
      <x:c r="K22" s="40" t="str">
        <x:v>Comprar en lote medio</x:v>
      </x:c>
      <x:c r="L22" s="24" t="str">
        <x:v>3 pzas extra</x:v>
      </x:c>
      <x:c r="M22" s="24" t="str">
        <x:v>0 Ω, misma huella; puede sustituirse por puente si es necesario</x:v>
      </x:c>
      <x:c r="N22" s="24" t="str">
        <x:v>Puede definir una ruta de señal o alimentación; no retirarla sin revisar esquema.</x:v>
      </x:c>
      <x:c r="O22" s="24" t="str">
        <x:v>https://intesc.mx/productos/resistencia-de-4-7k-ohm-1-0603/</x:v>
      </x:c>
    </x:row>
    <x:row r="23">
      <x:c r="A23" s="40" t="n">
        <x:v>22</x:v>
      </x:c>
      <x:c r="B23" s="40" t="n">
        <x:v>7</x:v>
      </x:c>
      <x:c r="C23" s="40" t="str">
        <x:v>C?</x:v>
      </x:c>
      <x:c r="D23" s="24" t="str">
        <x:v>Capacitor cerámico SMD 100 nF</x:v>
      </x:c>
      <x:c r="E23" s="24" t="str">
        <x:v>Desacoplo cerca de alimentación de circuitos integrados</x:v>
      </x:c>
      <x:c r="F23" s="24" t="str">
        <x:v>Pasivos / desacoplo</x:v>
      </x:c>
      <x:c r="G23" s="40" t="str">
        <x:v>Crítico</x:v>
      </x:c>
      <x:c r="H23" s="40" t="str">
        <x:v>Alto</x:v>
      </x:c>
      <x:c r="I23" s="40" t="str">
        <x:v>Baja</x:v>
      </x:c>
      <x:c r="J23" s="40" t="str">
        <x:v>Baja</x:v>
      </x:c>
      <x:c r="K23" s="40" t="str">
        <x:v>Comprar primero</x:v>
      </x:c>
      <x:c r="L23" s="24" t="str">
        <x:v>10 pzas extra</x:v>
      </x:c>
      <x:c r="M23" s="24" t="str">
        <x:v>100 nF; preferible X7R/X5R; misma huella</x:v>
      </x:c>
      <x:c r="N23" s="24" t="str">
        <x:v>Aunque es económico, es clave para estabilidad eléctrica y ruido.</x:v>
      </x:c>
      <x:c r="O23" s="24" t="str">
        <x:v>https://aelectronics.com.mx/home/2136-capacitor-ceramico-smd-0603-100nf.html</x:v>
      </x:c>
    </x:row>
    <x:row r="24">
      <x:c r="A24" s="40" t="n">
        <x:v>23</x:v>
      </x:c>
      <x:c r="B24" s="40" t="n">
        <x:v>4</x:v>
      </x:c>
      <x:c r="C24" s="40" t="str">
        <x:v>C?</x:v>
      </x:c>
      <x:c r="D24" s="24" t="str">
        <x:v>Capacitor SMD 10 µF / 10 V</x:v>
      </x:c>
      <x:c r="E24" s="24" t="str">
        <x:v>Filtrado de alimentación y estabilidad de reguladores</x:v>
      </x:c>
      <x:c r="F24" s="24" t="str">
        <x:v>Pasivos / filtrado</x:v>
      </x:c>
      <x:c r="G24" s="40" t="str">
        <x:v>Crítico</x:v>
      </x:c>
      <x:c r="H24" s="40" t="str">
        <x:v>Alto</x:v>
      </x:c>
      <x:c r="I24" s="40" t="str">
        <x:v>Media</x:v>
      </x:c>
      <x:c r="J24" s="40" t="str">
        <x:v>Baja</x:v>
      </x:c>
      <x:c r="K24" s="40" t="str">
        <x:v>Comprar primero</x:v>
      </x:c>
      <x:c r="L24" s="24" t="str">
        <x:v>5 pzas extra</x:v>
      </x:c>
      <x:c r="M24" s="24" t="str">
        <x:v>10 µF, voltaje igual o mayor a 10 V; revisar ESR si va con regulador</x:v>
      </x:c>
      <x:c r="N24" s="24" t="str">
        <x:v>Puede causar fallas de arranque o inestabilidad si se omite o se usa valor incorrecto.</x:v>
      </x:c>
      <x:c r="O24" s="24" t="str">
        <x:v>https://aelectronics.com.mx/home/2194-capacitor-ceramico-smd-0603-10uf-10v.html</x:v>
      </x:c>
    </x:row>
    <x:row r="25">
      <x:c r="A25" s="40" t="n">
        <x:v>24</x:v>
      </x:c>
      <x:c r="B25" s="40" t="n">
        <x:v>2</x:v>
      </x:c>
      <x:c r="C25" s="40" t="str">
        <x:v>C_XTAL</x:v>
      </x:c>
      <x:c r="D25" s="24" t="str">
        <x:v>Capacitor cerámico SMD 20 pF</x:v>
      </x:c>
      <x:c r="E25" s="24" t="str">
        <x:v>Capacitores de carga del cristal de 8 MHz</x:v>
      </x:c>
      <x:c r="F25" s="24" t="str">
        <x:v>Reloj</x:v>
      </x:c>
      <x:c r="G25" s="40" t="str">
        <x:v>Crítico</x:v>
      </x:c>
      <x:c r="H25" s="40" t="str">
        <x:v>Alto</x:v>
      </x:c>
      <x:c r="I25" s="40" t="str">
        <x:v>Baja</x:v>
      </x:c>
      <x:c r="J25" s="40" t="str">
        <x:v>Baja</x:v>
      </x:c>
      <x:c r="K25" s="40" t="str">
        <x:v>Comprar primero</x:v>
      </x:c>
      <x:c r="L25" s="24" t="str">
        <x:v>3 pzas extra</x:v>
      </x:c>
      <x:c r="M25" s="24" t="str">
        <x:v>20 pF; tolerancia razonable; misma huella</x:v>
      </x:c>
      <x:c r="N25" s="24" t="str">
        <x:v>Si el valor no corresponde, el oscilador puede no arrancar o tener error.</x:v>
      </x:c>
      <x:c r="O25" s="24" t="str">
        <x:v>https://uelectronics.com/producto/capacitor-0603-20pf-50v-cl10c200jb8nnnc/</x:v>
      </x:c>
    </x:row>
    <x:row r="26">
      <x:c r="A26" s="40" t="n">
        <x:v>25</x:v>
      </x:c>
      <x:c r="B26" s="40" t="n">
        <x:v>1</x:v>
      </x:c>
      <x:c r="C26" s="40" t="str">
        <x:v>C?</x:v>
      </x:c>
      <x:c r="D26" s="24" t="str">
        <x:v>Capacitor cerámico SMD 10 nF</x:v>
      </x:c>
      <x:c r="E26" s="24" t="str">
        <x:v>Filtrado puntual o acondicionamiento de señal</x:v>
      </x:c>
      <x:c r="F26" s="24" t="str">
        <x:v>Pasivos</x:v>
      </x:c>
      <x:c r="G26" s="40" t="str">
        <x:v>Sustituible</x:v>
      </x:c>
      <x:c r="H26" s="40" t="str">
        <x:v>Bajo</x:v>
      </x:c>
      <x:c r="I26" s="40" t="str">
        <x:v>Baja</x:v>
      </x:c>
      <x:c r="J26" s="40" t="str">
        <x:v>Baja</x:v>
      </x:c>
      <x:c r="K26" s="40" t="str">
        <x:v>Comprar al final</x:v>
      </x:c>
      <x:c r="L26" s="24" t="str">
        <x:v>3 pzas extra</x:v>
      </x:c>
      <x:c r="M26" s="24" t="str">
        <x:v>10 nF; misma huella</x:v>
      </x:c>
      <x:c r="N26" s="24" t="str">
        <x:v>No suele ser crítico, pero conviene respetar ubicación y valor si está en señales sensibles.</x:v>
      </x:c>
      <x:c r="O26" s="24" t="str">
        <x:v>https://aelectronics.com.mx/home/2166-capacitor-ceramico-smd-0603-10nf-50v.html</x:v>
      </x:c>
    </x:row>
  </x:sheetData>
  <x:conditionalFormatting sqref="G2:G26">
    <x:cfRule type="expression" dxfId="0" priority="1">
      <x:formula>$G2="Crítico"</x:formula>
    </x:cfRule>
    <x:cfRule type="expression" dxfId="1" priority="2">
      <x:formula>$G2="Importante"</x:formula>
    </x:cfRule>
    <x:cfRule type="expression" dxfId="2" priority="3">
      <x:formula>$G2="Sustituible"</x:formula>
    </x:cfRule>
    <x:cfRule type="expression" dxfId="3" priority="4">
      <x:formula>$G2="Opcional"</x:formula>
    </x:cfRule>
  </x:conditionalFormatting>
  <x:conditionalFormatting sqref="H2:J26">
    <x:cfRule type="expression" dxfId="4" priority="5">
      <x:formula>H2="Alto"</x:formula>
    </x:cfRule>
    <x:cfRule type="expression" dxfId="5" priority="6">
      <x:formula>H2="Medio"</x:formula>
    </x:cfRule>
    <x:cfRule type="expression" dxfId="6" priority="7">
      <x:formula>H2="Bajo"</x:formula>
    </x:cfRule>
  </x:conditionalFormatting>
  <x:dataValidations count="5">
    <x:dataValidation type="list" sqref="G2:G200">
      <x:formula1>"Crítico,Importante,Sustituible,Opcional"</x:formula1>
    </x:dataValidation>
    <x:dataValidation type="list" sqref="H2:H200">
      <x:formula1>"Alto,Medio,Bajo"</x:formula1>
    </x:dataValidation>
    <x:dataValidation type="list" sqref="I2:I200">
      <x:formula1>"Alto,Medio,Bajo"</x:formula1>
    </x:dataValidation>
    <x:dataValidation type="list" sqref="J2:J200">
      <x:formula1>"Alto,Medio,Bajo"</x:formula1>
    </x:dataValidation>
    <x:dataValidation type="list" sqref="K2:K200">
      <x:formula1>"Comprar primero,Comprar en lote medio,Comprar al final,Comprar después,Revisar necesidad"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98863984003487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35" hidden="0" customWidth="1"/>
    <x:col min="4" max="4" width="34" hidden="0" customWidth="1"/>
    <x:col min="5" max="5" width="25" hidden="0" customWidth="1"/>
    <x:col min="6" max="6" width="32" hidden="0" customWidth="1"/>
  </x:cols>
  <x:sheetData>
    <x:row r="1" ht="28" customHeight="1">
      <x:c r="A1" s="54" t="str">
        <x:v>Criterios de clasificación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</x:row>
    <x:row r="3">
      <x:c r="A3" s="13" t="str">
        <x:v>Clasificación</x:v>
      </x:c>
      <x:c r="B3" s="13" t="str">
        <x:v>Descripción</x:v>
      </x:c>
      <x:c r="C3" s="13" t="str">
        <x:v>Ejemplos del proyecto</x:v>
      </x:c>
      <x:c r="D3" s="13" t="str">
        <x:v>Impacto si no se compra</x:v>
      </x:c>
      <x:c r="E3" s="13" t="str">
        <x:v>Dificultad de sustitución</x:v>
      </x:c>
      <x:c r="F3" s="13" t="str">
        <x:v>Recomendación</x:v>
      </x:c>
    </x:row>
    <x:row r="4">
      <x:c r="A4" s="24" t="str">
        <x:v>Crítico</x:v>
      </x:c>
      <x:c r="B4" s="24" t="str">
        <x:v>Componente necesario para que la tarjeta encienda, se programe, mantenga reloj estable o funcione eléctricamente.</x:v>
      </x:c>
      <x:c r="C4" s="24" t="str">
        <x:v>PIC32MX220, LDO 3.3 V, cristal, capacitores de desacoplo, ICSP</x:v>
      </x:c>
      <x:c r="D4" s="24" t="str">
        <x:v>Alto: puede impedir arranque, programación o estabilidad</x:v>
      </x:c>
      <x:c r="E4" s="24" t="str">
        <x:v>Alta o media</x:v>
      </x:c>
      <x:c r="F4" s="24" t="str">
        <x:v>Comprar primero y validar encapsulado/huella antes de pagar</x:v>
      </x:c>
    </x:row>
    <x:row r="5">
      <x:c r="A5" s="24" t="str">
        <x:v>Importante</x:v>
      </x:c>
      <x:c r="B5" s="24" t="str">
        <x:v>Componente que mejora protección, interfaz o utilidad de la tarjeta, pero puede revisarse si la versión permite omitirlo.</x:v>
      </x:c>
      <x:c r="C5" s="24" t="str">
        <x:v>Jack de alimentación, BAT54C, botones, headers principales</x:v>
      </x:c>
      <x:c r="D5" s="24" t="str">
        <x:v>Medio: limita pruebas o funciones prácticas</x:v>
      </x:c>
      <x:c r="E5" s="24" t="str">
        <x:v>Media o baja</x:v>
      </x:c>
      <x:c r="F5" s="24" t="str">
        <x:v>Comprar después de los críticos o junto con lote principal</x:v>
      </x:c>
    </x:row>
    <x:row r="6">
      <x:c r="A6" s="24" t="str">
        <x:v>Sustituible</x:v>
      </x:c>
      <x:c r="B6" s="24" t="str">
        <x:v>Componente con alternativas directas siempre que se respete valor, huella y especificación eléctrica.</x:v>
      </x:c>
      <x:c r="C6" s="24" t="str">
        <x:v>LEDs, resistencias comunes, capacitores no críticos</x:v>
      </x:c>
      <x:c r="D6" s="24" t="str">
        <x:v>Bajo a medio: puede corregirse sin rediseñar</x:v>
      </x:c>
      <x:c r="E6" s="24" t="str">
        <x:v>Baja</x:v>
      </x:c>
      <x:c r="F6" s="24" t="str">
        <x:v>Comprar en lote económico, considerar repuestos</x:v>
      </x:c>
    </x:row>
    <x:row r="7">
      <x:c r="A7" s="24" t="str">
        <x:v>Opcional</x:v>
      </x:c>
      <x:c r="B7" s="24" t="str">
        <x:v>Componente marcado como opcional/NA o necesario solo para una configuración específica.</x:v>
      </x:c>
      <x:c r="C7" s="24" t="str">
        <x:v>Conector Li-Po, LM1117 ajustable, resistencias opcionales</x:v>
      </x:c>
      <x:c r="D7" s="24" t="str">
        <x:v>Bajo si la función no se utiliza</x:v>
      </x:c>
      <x:c r="E7" s="24" t="str">
        <x:v>Baja o media</x:v>
      </x:c>
      <x:c r="F7" s="24" t="str">
        <x:v>Confirmar si se monta antes de comprar</x:v>
      </x:c>
    </x:row>
  </x:sheetData>
  <x:mergeCells>
    <x:mergeCell ref="A1:F1"/>
  </x:mergeCells>
  <x:conditionalFormatting sqref="A4:A7">
    <x:cfRule type="expression" dxfId="7" priority="1">
      <x:formula>$A4="Crítico"</x:formula>
    </x:cfRule>
    <x:cfRule type="expression" dxfId="8" priority="2">
      <x:formula>$A4="Importante"</x:formula>
    </x:cfRule>
    <x:cfRule type="expression" dxfId="9" priority="3">
      <x:formula>$A4="Sustituible"</x:formula>
    </x:cfRule>
    <x:cfRule type="expression" dxfId="10" priority="4">
      <x:formula>$A4="Opcional"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f7a8a08dc024d7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38" hidden="0" customWidth="1"/>
    <x:col min="4" max="4" width="22" hidden="0" customWidth="1"/>
    <x:col min="5" max="5" width="30" hidden="0" customWidth="1"/>
    <x:col min="6" max="6" width="14" hidden="0" customWidth="1"/>
    <x:col min="7" max="7" width="40" hidden="0" customWidth="1"/>
  </x:cols>
  <x:sheetData>
    <x:row r="1" ht="28" customHeight="1">
      <x:c r="A1" s="54" t="str">
        <x:v>Plan de acción por prioridad de compra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</x:row>
    <x:row r="3">
      <x:c r="A3" s="13" t="str">
        <x:v>Prioridad</x:v>
      </x:c>
      <x:c r="B3" s="13" t="str">
        <x:v>Qué incluye</x:v>
      </x:c>
      <x:c r="C3" s="13" t="str">
        <x:v>Acción sugerida</x:v>
      </x:c>
      <x:c r="D3" s="13" t="str">
        <x:v>Responsable</x:v>
      </x:c>
      <x:c r="E3" s="13" t="str">
        <x:v>Evidencia esperada</x:v>
      </x:c>
      <x:c r="F3" s="13" t="str">
        <x:v>Estado</x:v>
      </x:c>
      <x:c r="G3" s="13" t="str">
        <x:v>Observaciones</x:v>
      </x:c>
    </x:row>
    <x:row r="4">
      <x:c r="A4" s="24" t="str">
        <x:v>Comprar primero</x:v>
      </x:c>
      <x:c r="B4" s="24" t="str">
        <x:v>PIC32, regulador 3.3 V, cristal, capacitores de reloj, desacoplo, ICSP, USB</x:v>
      </x:c>
      <x:c r="C4" s="24" t="str">
        <x:v>Validar huella y disponibilidad; comprar con repuestos mínimos</x:v>
      </x:c>
      <x:c r="D4" s="24" t="str">
        <x:v>Costos / compras</x:v>
      </x:c>
      <x:c r="E4" s="24" t="str">
        <x:v>Captura de cotización y enlace</x:v>
      </x:c>
      <x:c r="F4" s="24" t="str">
        <x:v>Pendiente</x:v>
      </x:c>
      <x:c r="G4" s="24" t="str">
        <x:v>Estos componentes definen si la tarjeta puede arrancar y programarse.</x:v>
      </x:c>
    </x:row>
    <x:row r="5">
      <x:c r="A5" s="24" t="str">
        <x:v>Comprar en lote medio</x:v>
      </x:c>
      <x:c r="B5" s="24" t="str">
        <x:v>Protección, conectores de uso común, botones y headers principales</x:v>
      </x:c>
      <x:c r="C5" s="24" t="str">
        <x:v>Consolidar compra para reducir envíos</x:v>
      </x:c>
      <x:c r="D5" s="24" t="str">
        <x:v>Costos / compras</x:v>
      </x:c>
      <x:c r="E5" s="24" t="str">
        <x:v>Comparativa de proveedor</x:v>
      </x:c>
      <x:c r="F5" s="24" t="str">
        <x:v>Pendiente</x:v>
      </x:c>
      <x:c r="G5" s="24" t="str">
        <x:v>Se puede cotizar junto con pasivos para mejorar precio.</x:v>
      </x:c>
    </x:row>
    <x:row r="6">
      <x:c r="A6" s="24" t="str">
        <x:v>Comprar al final</x:v>
      </x:c>
      <x:c r="B6" s="24" t="str">
        <x:v>LEDs, resistencias, capacitores no críticos y conectores de expansión</x:v>
      </x:c>
      <x:c r="C6" s="24" t="str">
        <x:v>Comprar por lote económico o con proveedor local</x:v>
      </x:c>
      <x:c r="D6" s="24" t="str">
        <x:v>Costos / compras</x:v>
      </x:c>
      <x:c r="E6" s="24" t="str">
        <x:v>Ticket o captura de catálogo</x:v>
      </x:c>
      <x:c r="F6" s="24" t="str">
        <x:v>Pendiente</x:v>
      </x:c>
      <x:c r="G6" s="24" t="str">
        <x:v>Los pasivos conviene pedir con excedente.</x:v>
      </x:c>
    </x:row>
    <x:row r="7">
      <x:c r="A7" s="24" t="str">
        <x:v>Comprar después</x:v>
      </x:c>
      <x:c r="B7" s="24" t="str">
        <x:v>Elementos opcionales o de alimentación alternativa</x:v>
      </x:c>
      <x:c r="C7" s="24" t="str">
        <x:v>Confirmar si se montan en Rev A antes de pagar</x:v>
      </x:c>
      <x:c r="D7" s="24" t="str">
        <x:v>Equipo de hardware</x:v>
      </x:c>
      <x:c r="E7" s="24" t="str">
        <x:v>Nota de validación con esquema</x:v>
      </x:c>
      <x:c r="F7" s="24" t="str">
        <x:v>Pendiente</x:v>
      </x:c>
      <x:c r="G7" s="24" t="str">
        <x:v>No comprar si el equipo decide no poblarlos.</x:v>
      </x:c>
    </x:row>
    <x:row r="8">
      <x:c r="A8" s="24" t="str">
        <x:v>Revisar necesidad</x:v>
      </x:c>
      <x:c r="B8" s="24" t="str">
        <x:v>Componentes marcados como NA u opcionales</x:v>
      </x:c>
      <x:c r="C8" s="24" t="str">
        <x:v>Validar contra esquemático y versión de PCB</x:v>
      </x:c>
      <x:c r="D8" s="24" t="str">
        <x:v>Equipo completo</x:v>
      </x:c>
      <x:c r="E8" s="24" t="str">
        <x:v>Acuerdo de revisión</x:v>
      </x:c>
      <x:c r="F8" s="24" t="str">
        <x:v>Pendiente</x:v>
      </x:c>
      <x:c r="G8" s="24" t="str">
        <x:v>Evita gastar en elementos no montados.</x:v>
      </x:c>
    </x:row>
  </x:sheetData>
  <x:mergeCells>
    <x:mergeCell ref="A1:G1"/>
  </x:mergeCells>
  <x:conditionalFormatting sqref="F4:F8">
    <x:cfRule type="expression" dxfId="11" priority="1">
      <x:formula>$F4="Pendiente"</x:formula>
    </x:cfRule>
    <x:cfRule type="expression" dxfId="12" priority="2">
      <x:formula>$F4="Cerrado"</x:formula>
    </x:cfRule>
  </x:conditionalFormatting>
  <x:dataValidations count="1">
    <x:dataValidation type="list" sqref="F4:F8">
      <x:formula1>"Pendiente,En proceso,Validado,Cerrado"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57751caa91f425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6" hidden="0" customWidth="1"/>
    <x:col min="3" max="3" width="45" hidden="0" customWidth="1"/>
    <x:col min="4" max="4" width="20" hidden="0" customWidth="1"/>
    <x:col min="5" max="5" width="80" hidden="0" customWidth="1"/>
  </x:cols>
  <x:sheetData>
    <x:row r="1" ht="28" customHeight="1">
      <x:c r="A1" s="54" t="str">
        <x:v>Fuentes y enlaces del BOM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</x:row>
    <x:row r="3">
      <x:c r="A3" s="13" t="str">
        <x:v>No.</x:v>
      </x:c>
      <x:c r="B3" s="13" t="str">
        <x:v>Referencia</x:v>
      </x:c>
      <x:c r="C3" s="13" t="str">
        <x:v>Componente</x:v>
      </x:c>
      <x:c r="D3" s="13" t="str">
        <x:v>Proveedor / sitio</x:v>
      </x:c>
      <x:c r="E3" s="13" t="str">
        <x:v>URL</x:v>
      </x:c>
    </x:row>
    <x:row r="4">
      <x:c r="A4" s="24" t="n">
        <x:v>1</x:v>
      </x:c>
      <x:c r="B4" s="24" t="str">
        <x:v>U1</x:v>
      </x:c>
      <x:c r="C4" s="24" t="str">
        <x:v>Microcontrolador PIC32MX220F032D-I/PT</x:v>
      </x:c>
      <x:c r="D4" s="24" t="str">
        <x:v>Mouser</x:v>
      </x:c>
      <x:c r="E4" s="24" t="str">
        <x:v>https://www.mouser.mx/ProductDetail/Microchip-Technology/PIC32MX220F032D-I-PT?qs=YqCKdUdj4g1WcFz57CpzjQ%3D%3D</x:v>
      </x:c>
    </x:row>
    <x:row r="5">
      <x:c r="A5" s="24" t="n">
        <x:v>2</x:v>
      </x:c>
      <x:c r="B5" s="24" t="str">
        <x:v>USB_DEV</x:v>
      </x:c>
      <x:c r="C5" s="24" t="str">
        <x:v>Conector USB Mini-B SMD</x:v>
      </x:c>
      <x:c r="D5" s="24" t="str">
        <x:v>SparkFun</x:v>
      </x:c>
      <x:c r="E5" s="24" t="str">
        <x:v>https://www.sparkfun.com/products/587</x:v>
      </x:c>
    </x:row>
    <x:row r="6">
      <x:c r="A6" s="24" t="n">
        <x:v>3</x:v>
      </x:c>
      <x:c r="B6" s="24" t="str">
        <x:v>3.7V-LI_BAT</x:v>
      </x:c>
      <x:c r="C6" s="24" t="str">
        <x:v>Conector de batería Li-Po 3.7 V, 2 pines DW02R</x:v>
      </x:c>
      <x:c r="D6" s="24" t="str">
        <x:v>INTESC</x:v>
      </x:c>
      <x:c r="E6" s="24" t="str">
        <x:v>https://intesc.mx/productos/conector-macho-tipo-jst-de-2-pines/</x:v>
      </x:c>
    </x:row>
    <x:row r="7">
      <x:c r="A7" s="24" t="n">
        <x:v>4</x:v>
      </x:c>
      <x:c r="B7" s="24" t="str">
        <x:v>PWR</x:v>
      </x:c>
      <x:c r="C7" s="24" t="str">
        <x:v>Jack/conector de alimentación 5 VDC YDJ-1136</x:v>
      </x:c>
      <x:c r="D7" s="24" t="str">
        <x:v>Idea Electrónica</x:v>
      </x:c>
      <x:c r="E7" s="24" t="str">
        <x:v>https://www.ideaelectronica.mx/conectores-de-energia/4293-705-571-conector-de-barril-dc-para-pcb.html</x:v>
      </x:c>
    </x:row>
    <x:row r="8">
      <x:c r="A8" s="24" t="n">
        <x:v>5</x:v>
      </x:c>
      <x:c r="B8" s="24" t="str">
        <x:v>D1</x:v>
      </x:c>
      <x:c r="C8" s="24" t="str">
        <x:v>Diodo Schottky BAT54C SMD</x:v>
      </x:c>
      <x:c r="D8" s="24" t="str">
        <x:v>Teknomovo</x:v>
      </x:c>
      <x:c r="E8" s="24" t="str">
        <x:v>https://teknomovo.com.mx/producto/diodo-doble-de-pequena-senal-schottky-catodo-comun-200-ma-30-v-voltaje-en-directo-muy-bajo-alta-frecuencia-smd/</x:v>
      </x:c>
    </x:row>
    <x:row r="9">
      <x:c r="A9" s="24" t="n">
        <x:v>6</x:v>
      </x:c>
      <x:c r="B9" s="24" t="str">
        <x:v>VR2</x:v>
      </x:c>
      <x:c r="C9" s="24" t="str">
        <x:v>Regulador LDO 3.3 V MCP1700T-3302E/MB</x:v>
      </x:c>
      <x:c r="D9" s="24" t="str">
        <x:v>LCSC</x:v>
      </x:c>
      <x:c r="E9" s="24" t="str">
        <x:v>https://www.lcsc.com/product-detail_C632000.html</x:v>
      </x:c>
    </x:row>
    <x:row r="10">
      <x:c r="A10" s="24" t="n">
        <x:v>7</x:v>
      </x:c>
      <x:c r="B10" s="24" t="str">
        <x:v>VR1</x:v>
      </x:c>
      <x:c r="C10" s="24" t="str">
        <x:v>Regulador ajustable LM1117IMPX-ADJ</x:v>
      </x:c>
      <x:c r="D10" s="24" t="str">
        <x:v>Mouser</x:v>
      </x:c>
      <x:c r="E10" s="24" t="str">
        <x:v>https://www.mouser.com/ProductDetail/Texas-Instruments/LM1117IMPX-ADJ-NOPB?qs=X1J7HmVL2ZH7x9eSBiUHaQ%3D%3D</x:v>
      </x:c>
    </x:row>
    <x:row r="11">
      <x:c r="A11" s="24" t="n">
        <x:v>8</x:v>
      </x:c>
      <x:c r="B11" s="24" t="str">
        <x:v>X1</x:v>
      </x:c>
      <x:c r="C11" s="24" t="str">
        <x:v>Cristal de cuarzo 8.000 MHz HC-49SM SMD, 20 pF, 20 ppm</x:v>
      </x:c>
      <x:c r="D11" s="24" t="str">
        <x:v>INTESC</x:v>
      </x:c>
      <x:c r="E11" s="24" t="str">
        <x:v>https://intesc.mx/productos/oscilador-de-8mhz-smd/</x:v>
      </x:c>
    </x:row>
    <x:row r="12">
      <x:c r="A12" s="24" t="n">
        <x:v>9</x:v>
      </x:c>
      <x:c r="B12" s="24" t="str">
        <x:v>LED_PWR</x:v>
      </x:c>
      <x:c r="C12" s="24" t="str">
        <x:v>LED verde SMD 0603</x:v>
      </x:c>
      <x:c r="D12" s="24" t="str">
        <x:v>Aelectronics</x:v>
      </x:c>
      <x:c r="E12" s="24" t="str">
        <x:v>https://aelectronics.com.mx/home/2580-led-smd-0603-verde.html</x:v>
      </x:c>
    </x:row>
    <x:row r="13">
      <x:c r="A13" s="24" t="n">
        <x:v>10</x:v>
      </x:c>
      <x:c r="B13" s="24" t="str">
        <x:v>LED_USER</x:v>
      </x:c>
      <x:c r="C13" s="24" t="str">
        <x:v>LED rojo SMD 0603</x:v>
      </x:c>
      <x:c r="D13" s="24" t="str">
        <x:v>Uelectronics</x:v>
      </x:c>
      <x:c r="E13" s="24" t="str">
        <x:v>https://uelectronics.com/producto/ncd0603r1-led-rojo-smd-0603/</x:v>
      </x:c>
    </x:row>
    <x:row r="14">
      <x:c r="A14" s="24" t="n">
        <x:v>11</x:v>
      </x:c>
      <x:c r="B14" s="24" t="str">
        <x:v>BUT, RST</x:v>
      </x:c>
      <x:c r="C14" s="24" t="str">
        <x:v>Botón pulsador táctil SMD T1107A 6 x 3.8 x 2.5 mm</x:v>
      </x:c>
      <x:c r="D14" s="24" t="str">
        <x:v>SIEEG</x:v>
      </x:c>
      <x:c r="E14" s="24" t="str">
        <x:v>https://sieeg.com.mx/producto/switch-interruptor-smd-3x6x3-8mm/</x:v>
      </x:c>
    </x:row>
    <x:row r="15">
      <x:c r="A15" s="24" t="n">
        <x:v>12</x:v>
      </x:c>
      <x:c r="B15" s="24" t="str">
        <x:v>UEXT</x:v>
      </x:c>
      <x:c r="C15" s="24" t="str">
        <x:v>Conector UEXT BH10R, 10 pines</x:v>
      </x:c>
      <x:c r="D15" s="24" t="str">
        <x:v>Idea Electrónica</x:v>
      </x:c>
      <x:c r="E15" s="24" t="str">
        <x:v>https://www.ideaelectronica.mx/conectores-de-energia/3895-fcn-2x5-conector-macho-10-pin-para-cable-plano.html</x:v>
      </x:c>
    </x:row>
    <x:row r="16">
      <x:c r="A16" s="24" t="n">
        <x:v>13</x:v>
      </x:c>
      <x:c r="B16" s="24" t="str">
        <x:v>ICSP</x:v>
      </x:c>
      <x:c r="C16" s="24" t="str">
        <x:v>Header ICSP WF6S, 6 pines</x:v>
      </x:c>
      <x:c r="D16" s="24" t="str">
        <x:v>INTESC</x:v>
      </x:c>
      <x:c r="E16" s="24" t="str">
        <x:v>https://intesc.mx/productos/tira-de-40-pines-macho-de-2-54mm/</x:v>
      </x:c>
    </x:row>
    <x:row r="17">
      <x:c r="A17" s="24" t="n">
        <x:v>14</x:v>
      </x:c>
      <x:c r="B17" s="24" t="str">
        <x:v>CON1,CON2,CON4,CON5</x:v>
      </x:c>
      <x:c r="C17" s="24" t="str">
        <x:v>Juego de headers Arduino 2 x 1x8 + 2 x 1x6</x:v>
      </x:c>
      <x:c r="D17" s="24" t="str">
        <x:v>Rantec</x:v>
      </x:c>
      <x:c r="E17" s="24" t="str">
        <x:v>https://rantec.mx/tienda/tiras-de-header-hembra-de-40-dupont-2-54mm/</x:v>
      </x:c>
    </x:row>
    <x:row r="18">
      <x:c r="A18" s="24" t="n">
        <x:v>15</x:v>
      </x:c>
      <x:c r="B18" s="24" t="str">
        <x:v>R?</x:v>
      </x:c>
      <x:c r="C18" s="24" t="str">
        <x:v>Resistencia SMD 240 Ω 1%</x:v>
      </x:c>
      <x:c r="D18" s="24" t="str">
        <x:v>INTESC</x:v>
      </x:c>
      <x:c r="E18" s="24" t="str">
        <x:v>https://intesc.mx/productos/resistencia-de-240-ohm-1-0603/</x:v>
      </x:c>
    </x:row>
    <x:row r="19">
      <x:c r="A19" s="24" t="n">
        <x:v>16</x:v>
      </x:c>
      <x:c r="B19" s="24" t="str">
        <x:v>R?</x:v>
      </x:c>
      <x:c r="C19" s="24" t="str">
        <x:v>Resistencia SMD 390 Ω 1%</x:v>
      </x:c>
      <x:c r="D19" s="24" t="str">
        <x:v>INTESC</x:v>
      </x:c>
      <x:c r="E19" s="24" t="str">
        <x:v>https://intesc.mx/productos/resistencia-de-390-ohm-1-0603/</x:v>
      </x:c>
    </x:row>
    <x:row r="20">
      <x:c r="A20" s="24" t="n">
        <x:v>17</x:v>
      </x:c>
      <x:c r="B20" s="24" t="str">
        <x:v>R?</x:v>
      </x:c>
      <x:c r="C20" s="24" t="str">
        <x:v>Resistencia SMD 2 kΩ</x:v>
      </x:c>
      <x:c r="D20" s="24" t="str">
        <x:v>INTESC</x:v>
      </x:c>
      <x:c r="E20" s="24" t="str">
        <x:v>https://intesc.mx/productos/resistencia-de-2k-ohm-1-0603/</x:v>
      </x:c>
    </x:row>
    <x:row r="21">
      <x:c r="A21" s="24" t="n">
        <x:v>18</x:v>
      </x:c>
      <x:c r="B21" s="24" t="str">
        <x:v>R?</x:v>
      </x:c>
      <x:c r="C21" s="24" t="str">
        <x:v>Resistencia SMD 4.7 kΩ</x:v>
      </x:c>
      <x:c r="D21" s="24" t="str">
        <x:v>INTESC</x:v>
      </x:c>
      <x:c r="E21" s="24" t="str">
        <x:v>https://intesc.mx/productos/resistencia-de-4-7k-ohm-1-0603/</x:v>
      </x:c>
    </x:row>
    <x:row r="22">
      <x:c r="A22" s="24" t="n">
        <x:v>19</x:v>
      </x:c>
      <x:c r="B22" s="24" t="str">
        <x:v>R? opc.</x:v>
      </x:c>
      <x:c r="C22" s="24" t="str">
        <x:v>Resistencia SMD 4.7 kΩ opcional</x:v>
      </x:c>
      <x:c r="D22" s="24" t="str">
        <x:v>INTESC</x:v>
      </x:c>
      <x:c r="E22" s="24" t="str">
        <x:v>https://intesc.mx/productos/resistencia-de-4-7k-ohm-1-0603/</x:v>
      </x:c>
    </x:row>
    <x:row r="23">
      <x:c r="A23" s="24" t="n">
        <x:v>20</x:v>
      </x:c>
      <x:c r="B23" s="24" t="str">
        <x:v>R7</x:v>
      </x:c>
      <x:c r="C23" s="24" t="str">
        <x:v>Resistencia SMD 33 kΩ</x:v>
      </x:c>
      <x:c r="D23" s="24" t="str">
        <x:v>INTESC</x:v>
      </x:c>
      <x:c r="E23" s="24" t="str">
        <x:v>https://intesc.mx/productos/resistencia-de-33k-ohm-1-0603/</x:v>
      </x:c>
    </x:row>
    <x:row r="24">
      <x:c r="A24" s="24" t="n">
        <x:v>21</x:v>
      </x:c>
      <x:c r="B24" s="24" t="str">
        <x:v>R0</x:v>
      </x:c>
      <x:c r="C24" s="24" t="str">
        <x:v>Resistencia SMD 0 Ω / jumper</x:v>
      </x:c>
      <x:c r="D24" s="24" t="str">
        <x:v>INTESC</x:v>
      </x:c>
      <x:c r="E24" s="24" t="str">
        <x:v>https://intesc.mx/productos/resistencia-de-4-7k-ohm-1-0603/</x:v>
      </x:c>
    </x:row>
    <x:row r="25">
      <x:c r="A25" s="24" t="n">
        <x:v>22</x:v>
      </x:c>
      <x:c r="B25" s="24" t="str">
        <x:v>C?</x:v>
      </x:c>
      <x:c r="C25" s="24" t="str">
        <x:v>Capacitor cerámico SMD 100 nF</x:v>
      </x:c>
      <x:c r="D25" s="24" t="str">
        <x:v>Aelectronics</x:v>
      </x:c>
      <x:c r="E25" s="24" t="str">
        <x:v>https://aelectronics.com.mx/home/2136-capacitor-ceramico-smd-0603-100nf.html</x:v>
      </x:c>
    </x:row>
    <x:row r="26">
      <x:c r="A26" s="24" t="n">
        <x:v>23</x:v>
      </x:c>
      <x:c r="B26" s="24" t="str">
        <x:v>C?</x:v>
      </x:c>
      <x:c r="C26" s="24" t="str">
        <x:v>Capacitor SMD 10 µF / 10 V</x:v>
      </x:c>
      <x:c r="D26" s="24" t="str">
        <x:v>Aelectronics</x:v>
      </x:c>
      <x:c r="E26" s="24" t="str">
        <x:v>https://aelectronics.com.mx/home/2194-capacitor-ceramico-smd-0603-10uf-10v.html</x:v>
      </x:c>
    </x:row>
    <x:row r="27">
      <x:c r="A27" s="24" t="n">
        <x:v>24</x:v>
      </x:c>
      <x:c r="B27" s="24" t="str">
        <x:v>C_XTAL</x:v>
      </x:c>
      <x:c r="C27" s="24" t="str">
        <x:v>Capacitor cerámico SMD 20 pF</x:v>
      </x:c>
      <x:c r="D27" s="24" t="str">
        <x:v>Uelectronics</x:v>
      </x:c>
      <x:c r="E27" s="24" t="str">
        <x:v>https://uelectronics.com/producto/capacitor-0603-20pf-50v-cl10c200jb8nnnc/</x:v>
      </x:c>
    </x:row>
    <x:row r="28">
      <x:c r="A28" s="24" t="n">
        <x:v>25</x:v>
      </x:c>
      <x:c r="B28" s="24" t="str">
        <x:v>C?</x:v>
      </x:c>
      <x:c r="C28" s="24" t="str">
        <x:v>Capacitor cerámico SMD 10 nF</x:v>
      </x:c>
      <x:c r="D28" s="24" t="str">
        <x:v>Aelectronics</x:v>
      </x:c>
      <x:c r="E28" s="24" t="str">
        <x:v>https://aelectronics.com.mx/home/2166-capacitor-ceramico-smd-0603-10nf-50v.html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4d84b14a19f4f8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60" hidden="0" customWidth="1"/>
    <x:col min="4" max="4" width="24" hidden="0" customWidth="1"/>
    <x:col min="5" max="5" width="40" hidden="0" customWidth="1"/>
  </x:cols>
  <x:sheetData>
    <x:row r="1" ht="28" customHeight="1">
      <x:c r="A1" s="54" t="str">
        <x:v>Historial de cambios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</x:row>
    <x:row r="3">
      <x:c r="A3" s="13" t="str">
        <x:v>Versión</x:v>
      </x:c>
      <x:c r="B3" s="13" t="str">
        <x:v>Fecha</x:v>
      </x:c>
      <x:c r="C3" s="13" t="str">
        <x:v>Cambio realizado</x:v>
      </x:c>
      <x:c r="D3" s="13" t="str">
        <x:v>Responsable</x:v>
      </x:c>
      <x:c r="E3" s="13" t="str">
        <x:v>Observaciones</x:v>
      </x:c>
    </x:row>
    <x:row r="4">
      <x:c r="A4" s="24" t="str">
        <x:v>1.0</x:v>
      </x:c>
      <x:c r="B4" s="26" t="n">
        <x:v>46194</x:v>
      </x:c>
      <x:c r="C4" s="24" t="str">
        <x:v>Creación de matriz de componentes críticos y no críticos basada en BOM PIC32-PINGUINO-MX220 Rev A.</x:v>
      </x:c>
      <x:c r="D4" s="24" t="str">
        <x:v>Costos / organización</x:v>
      </x:c>
      <x:c r="E4" s="24" t="str">
        <x:v>Primera versión lista para revisión.</x:v>
      </x:c>
    </x:row>
    <x:row r="5">
      <x:c r="A5" s="24" t="str">
        <x:v>1.1</x:v>
      </x:c>
      <x:c r="B5" s="26" t="str"/>
      <x:c r="C5" s="24" t="str">
        <x:v>Actualizar clasificación si cambia el esquemático o la versión de PCB.</x:v>
      </x:c>
      <x:c r="D5" s="24" t="str"/>
      <x:c r="E5" s="24" t="str">
        <x:v>Pendiente de revisión de hardware.</x:v>
      </x:c>
    </x:row>
    <x:row r="6">
      <x:c r="A6" s="24" t="str">
        <x:v>1.2</x:v>
      </x:c>
      <x:c r="B6" s="26" t="str"/>
      <x:c r="C6" s="24" t="str">
        <x:v>Agregar costo real de compra cuando se confirme proveedor final.</x:v>
      </x:c>
      <x:c r="D6" s="24" t="str"/>
      <x:c r="E6" s="24" t="str">
        <x:v>Pendiente de compras.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ba80aff34f44a6c"/>
  </x:tableParts>
</x:worksheet>
</file>